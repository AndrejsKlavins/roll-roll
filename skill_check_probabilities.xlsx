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s\roll-roll\"/>
    </mc:Choice>
  </mc:AlternateContent>
  <xr:revisionPtr revIDLastSave="0" documentId="13_ncr:1_{BCA62119-9F6F-4A4C-BF90-41131B050D2B}" xr6:coauthVersionLast="47" xr6:coauthVersionMax="47" xr10:uidLastSave="{00000000-0000-0000-0000-000000000000}"/>
  <bookViews>
    <workbookView xWindow="-37590" yWindow="-120" windowWidth="37710" windowHeight="21840" xr2:uid="{00000000-000D-0000-FFFF-FFFF00000000}"/>
  </bookViews>
  <sheets>
    <sheet name="Assumptions" sheetId="1" r:id="rId1"/>
    <sheet name="Probabilities" sheetId="2" r:id="rId2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6" i="2" l="1"/>
  <c r="L23" i="2"/>
  <c r="L10" i="2"/>
  <c r="L9" i="2"/>
  <c r="H8" i="2"/>
  <c r="D6" i="2"/>
  <c r="C34" i="1"/>
  <c r="C33" i="1"/>
  <c r="D33" i="1" s="1"/>
  <c r="C32" i="1"/>
  <c r="D32" i="1" s="1"/>
  <c r="C31" i="1"/>
  <c r="C30" i="1"/>
  <c r="D30" i="1" s="1"/>
  <c r="C29" i="1"/>
  <c r="J8" i="2" s="1"/>
  <c r="C28" i="1"/>
  <c r="C27" i="1"/>
  <c r="D27" i="1" s="1"/>
  <c r="C26" i="1"/>
  <c r="D26" i="1" s="1"/>
  <c r="C25" i="1"/>
  <c r="C24" i="1"/>
  <c r="L33" i="2" s="1"/>
  <c r="C19" i="1"/>
  <c r="F28" i="2" s="1"/>
  <c r="E18" i="1"/>
  <c r="C18" i="1"/>
  <c r="C17" i="1"/>
  <c r="E17" i="1" s="1"/>
  <c r="C16" i="1"/>
  <c r="L13" i="2" s="1"/>
  <c r="E15" i="1"/>
  <c r="C15" i="1"/>
  <c r="H20" i="2" l="1"/>
  <c r="D29" i="1"/>
  <c r="D4" i="2"/>
  <c r="D7" i="2"/>
  <c r="L11" i="2"/>
  <c r="H21" i="2"/>
  <c r="J9" i="2"/>
  <c r="L16" i="2"/>
  <c r="D24" i="2"/>
  <c r="E16" i="1"/>
  <c r="F5" i="2"/>
  <c r="D10" i="2"/>
  <c r="H12" i="2"/>
  <c r="L14" i="2"/>
  <c r="F17" i="2"/>
  <c r="J19" i="2"/>
  <c r="D22" i="2"/>
  <c r="H24" i="2"/>
  <c r="L26" i="2"/>
  <c r="F29" i="2"/>
  <c r="J31" i="2"/>
  <c r="D25" i="1"/>
  <c r="D31" i="1"/>
  <c r="H9" i="2"/>
  <c r="J16" i="2"/>
  <c r="L4" i="2"/>
  <c r="D12" i="2"/>
  <c r="J21" i="2"/>
  <c r="H7" i="2"/>
  <c r="J7" i="2"/>
  <c r="H5" i="2"/>
  <c r="L7" i="2"/>
  <c r="F10" i="2"/>
  <c r="J12" i="2"/>
  <c r="D15" i="2"/>
  <c r="H17" i="2"/>
  <c r="L19" i="2"/>
  <c r="F22" i="2"/>
  <c r="J24" i="2"/>
  <c r="D27" i="2"/>
  <c r="H29" i="2"/>
  <c r="L31" i="2"/>
  <c r="D18" i="2"/>
  <c r="E19" i="1"/>
  <c r="H6" i="2"/>
  <c r="J4" i="2"/>
  <c r="F14" i="2"/>
  <c r="D19" i="2"/>
  <c r="F7" i="2"/>
  <c r="H14" i="2"/>
  <c r="F19" i="2"/>
  <c r="D5" i="2"/>
  <c r="J5" i="2"/>
  <c r="D8" i="2"/>
  <c r="H10" i="2"/>
  <c r="L12" i="2"/>
  <c r="F15" i="2"/>
  <c r="J17" i="2"/>
  <c r="D20" i="2"/>
  <c r="H22" i="2"/>
  <c r="L24" i="2"/>
  <c r="F27" i="2"/>
  <c r="J29" i="2"/>
  <c r="D32" i="2"/>
  <c r="D28" i="1"/>
  <c r="D34" i="1"/>
  <c r="L5" i="2"/>
  <c r="F8" i="2"/>
  <c r="J10" i="2"/>
  <c r="D13" i="2"/>
  <c r="H15" i="2"/>
  <c r="L17" i="2"/>
  <c r="F20" i="2"/>
  <c r="J22" i="2"/>
  <c r="D25" i="2"/>
  <c r="H27" i="2"/>
  <c r="L29" i="2"/>
  <c r="F32" i="2"/>
  <c r="C35" i="1"/>
  <c r="L22" i="2"/>
  <c r="F25" i="2"/>
  <c r="J27" i="2"/>
  <c r="D30" i="2"/>
  <c r="H32" i="2"/>
  <c r="F6" i="2"/>
  <c r="L15" i="2"/>
  <c r="F18" i="2"/>
  <c r="J20" i="2"/>
  <c r="D23" i="2"/>
  <c r="H25" i="2"/>
  <c r="L27" i="2"/>
  <c r="F30" i="2"/>
  <c r="J32" i="2"/>
  <c r="J15" i="2"/>
  <c r="H13" i="2"/>
  <c r="F11" i="2"/>
  <c r="D16" i="2"/>
  <c r="H18" i="2"/>
  <c r="L20" i="2"/>
  <c r="F23" i="2"/>
  <c r="J25" i="2"/>
  <c r="D28" i="2"/>
  <c r="H30" i="2"/>
  <c r="L32" i="2"/>
  <c r="D11" i="2"/>
  <c r="J13" i="2"/>
  <c r="D24" i="1"/>
  <c r="D35" i="1" s="1"/>
  <c r="J6" i="2"/>
  <c r="H11" i="2"/>
  <c r="J18" i="2"/>
  <c r="D21" i="2"/>
  <c r="L25" i="2"/>
  <c r="J30" i="2"/>
  <c r="D33" i="2"/>
  <c r="F13" i="2"/>
  <c r="L8" i="2"/>
  <c r="F4" i="2"/>
  <c r="D9" i="2"/>
  <c r="F16" i="2"/>
  <c r="H23" i="2"/>
  <c r="H4" i="2"/>
  <c r="L6" i="2"/>
  <c r="F9" i="2"/>
  <c r="J11" i="2"/>
  <c r="D14" i="2"/>
  <c r="H16" i="2"/>
  <c r="L18" i="2"/>
  <c r="F21" i="2"/>
  <c r="J23" i="2"/>
  <c r="D26" i="2"/>
  <c r="H28" i="2"/>
  <c r="L30" i="2"/>
  <c r="F33" i="2"/>
  <c r="F26" i="2"/>
  <c r="J28" i="2"/>
  <c r="D31" i="2"/>
  <c r="H33" i="2"/>
  <c r="L28" i="2"/>
  <c r="F31" i="2"/>
  <c r="J33" i="2"/>
  <c r="F12" i="2"/>
  <c r="J14" i="2"/>
  <c r="D17" i="2"/>
  <c r="H19" i="2"/>
  <c r="L21" i="2"/>
  <c r="F24" i="2"/>
  <c r="J26" i="2"/>
  <c r="D29" i="2"/>
  <c r="H31" i="2"/>
</calcChain>
</file>

<file path=xl/sharedStrings.xml><?xml version="1.0" encoding="utf-8"?>
<sst xmlns="http://schemas.openxmlformats.org/spreadsheetml/2006/main" count="48" uniqueCount="47">
  <si>
    <t>Roll Roll - skill check probability assumptions</t>
  </si>
  <si>
    <t>Yellow cells are inputs you can change; every probability on the 'Probabilities' tab recalculates from them.</t>
  </si>
  <si>
    <t>CR ranks and their targets</t>
  </si>
  <si>
    <t>CR rank</t>
  </si>
  <si>
    <t>Target to match</t>
  </si>
  <si>
    <t>Game difficulty</t>
  </si>
  <si>
    <t>Easy</t>
  </si>
  <si>
    <t>Challenging</t>
  </si>
  <si>
    <t>Hard</t>
  </si>
  <si>
    <t>Very hard</t>
  </si>
  <si>
    <t>(assumed - see note)</t>
  </si>
  <si>
    <t>Targets 4 / 8 / 12 / 16 are the four difficulties in scripts/dice.gd (DIFFICULTY_TARGETS). The game has no fifth difficulty; CR 5 = 20 continues the +4 step and is an assumption, not a game rule.</t>
  </si>
  <si>
    <t>Ability ranks and die faces</t>
  </si>
  <si>
    <t>Ability rank</t>
  </si>
  <si>
    <t>Modifier per die</t>
  </si>
  <si>
    <t>Name</t>
  </si>
  <si>
    <t>Die faces</t>
  </si>
  <si>
    <t>Very weak</t>
  </si>
  <si>
    <t>Weak</t>
  </si>
  <si>
    <t>Average</t>
  </si>
  <si>
    <t>Strong</t>
  </si>
  <si>
    <t>Very strong</t>
  </si>
  <si>
    <t>Rank 3 (Average) rolls 1-6; every step away shifts all six faces by one, so rank 1 rolls -1..4 and rank 5 rolls 3..8. A check rolls 2 dice.</t>
  </si>
  <si>
    <t>2-dice pip totals (before rank modifier and skill points)</t>
  </si>
  <si>
    <t>Pip total</t>
  </si>
  <si>
    <t>Ways (of 36)</t>
  </si>
  <si>
    <t>P(exactly)</t>
  </si>
  <si>
    <t>Total</t>
  </si>
  <si>
    <t>How a probability is worked out</t>
  </si>
  <si>
    <t>A check matches its CR when:  (pip total) + 2 x (rank modifier) + (skill points) &gt;= (CR target).</t>
  </si>
  <si>
    <t>So the pip total the dice must show is:  required = target - 2 x modifier - skill points, and the probability is the share of the 36 pip combinations at or above it (1 if required &lt;= 2, 0 if required &gt; 12).</t>
  </si>
  <si>
    <t>Skill points are the pool spent after the roll (scripts/dice.gd, Dice.boosted), so they are a flat bonus to the total; 0 points means no skill applied.</t>
  </si>
  <si>
    <t>Chance of matching a CR, by ability rank and skill points</t>
  </si>
  <si>
    <t>2 dice per check. Each cell is P(2 dice + 2 x rank modifier + skill points &gt;= CR target). Targets and die spreads live on the 'Assumptions' tab.</t>
  </si>
  <si>
    <t>Skill points</t>
  </si>
  <si>
    <t>CR rank 1</t>
  </si>
  <si>
    <t>Prob 1</t>
  </si>
  <si>
    <t>CR rank 2</t>
  </si>
  <si>
    <t>Prob 2</t>
  </si>
  <si>
    <t>CR rank 3</t>
  </si>
  <si>
    <t>Prob 3</t>
  </si>
  <si>
    <t>CR rank 4</t>
  </si>
  <si>
    <t>Prob 4</t>
  </si>
  <si>
    <t>CR rank 5</t>
  </si>
  <si>
    <t>Prob 5</t>
  </si>
  <si>
    <t>Blue cells are inputs (ability rank, skill points, CR rank); black cells are formulas. Change a CR target on the Assumptions tab and this whole table follows.</t>
  </si>
  <si>
    <t>Example read: ability rank 3 with 2 skill points matches CR 2 (target 8) 72.2% of the time.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</si>
</sst>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9"/>
      <color rgb="FF595959"/>
      <name val="Arial"/>
      <charset val="1"/>
    </font>
    <font>
      <b/>
      <sz val="11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name val="Arial"/>
      <charset val="1"/>
    </font>
    <font>
      <b/>
      <sz val="10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10" fontId="6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7" fillId="0" borderId="1" xfId="0" applyFont="1" applyBorder="1" applyAlignment="1">
      <alignment horizontal="center"/>
    </xf>
    <xf numFmtId="10" fontId="7" fillId="0" borderId="1" xfId="0" applyNumberFormat="1" applyFont="1" applyBorder="1" applyAlignment="1">
      <alignment horizontal="center"/>
    </xf>
    <xf numFmtId="0" fontId="6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164" fontId="6" fillId="4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40"/>
  <sheetViews>
    <sheetView showGridLines="0" tabSelected="1" zoomScaleNormal="100" workbookViewId="0">
      <selection activeCell="F11" sqref="F11"/>
    </sheetView>
  </sheetViews>
  <sheetFormatPr defaultColWidth="8.7109375" defaultRowHeight="15" x14ac:dyDescent="0.25"/>
  <cols>
    <col min="1" max="1" width="2" customWidth="1"/>
    <col min="2" max="3" width="16" customWidth="1"/>
    <col min="4" max="4" width="20" customWidth="1"/>
    <col min="5" max="5" width="26" customWidth="1"/>
  </cols>
  <sheetData>
    <row r="1" spans="2:5" ht="18" x14ac:dyDescent="0.25">
      <c r="B1" s="1" t="s">
        <v>0</v>
      </c>
    </row>
    <row r="2" spans="2:5" x14ac:dyDescent="0.25">
      <c r="B2" s="2" t="s">
        <v>1</v>
      </c>
    </row>
    <row r="4" spans="2:5" x14ac:dyDescent="0.25">
      <c r="B4" s="3" t="s">
        <v>2</v>
      </c>
    </row>
    <row r="5" spans="2:5" x14ac:dyDescent="0.25">
      <c r="B5" s="4" t="s">
        <v>3</v>
      </c>
      <c r="C5" s="4" t="s">
        <v>4</v>
      </c>
      <c r="D5" s="4" t="s">
        <v>5</v>
      </c>
    </row>
    <row r="6" spans="2:5" x14ac:dyDescent="0.25">
      <c r="B6" s="5">
        <v>1</v>
      </c>
      <c r="C6" s="5">
        <v>4</v>
      </c>
      <c r="D6" s="6" t="s">
        <v>6</v>
      </c>
    </row>
    <row r="7" spans="2:5" x14ac:dyDescent="0.25">
      <c r="B7" s="5">
        <v>2</v>
      </c>
      <c r="C7" s="5">
        <v>7</v>
      </c>
      <c r="D7" s="6" t="s">
        <v>7</v>
      </c>
    </row>
    <row r="8" spans="2:5" x14ac:dyDescent="0.25">
      <c r="B8" s="5">
        <v>3</v>
      </c>
      <c r="C8" s="5">
        <v>10</v>
      </c>
      <c r="D8" s="6" t="s">
        <v>8</v>
      </c>
    </row>
    <row r="9" spans="2:5" x14ac:dyDescent="0.25">
      <c r="B9" s="5">
        <v>4</v>
      </c>
      <c r="C9" s="5">
        <v>13</v>
      </c>
      <c r="D9" s="6" t="s">
        <v>9</v>
      </c>
    </row>
    <row r="10" spans="2:5" x14ac:dyDescent="0.25">
      <c r="B10" s="5">
        <v>5</v>
      </c>
      <c r="C10" s="5">
        <v>16</v>
      </c>
      <c r="D10" s="6" t="s">
        <v>10</v>
      </c>
    </row>
    <row r="11" spans="2:5" x14ac:dyDescent="0.25">
      <c r="B11" s="2" t="s">
        <v>11</v>
      </c>
    </row>
    <row r="13" spans="2:5" x14ac:dyDescent="0.25">
      <c r="B13" s="3" t="s">
        <v>12</v>
      </c>
    </row>
    <row r="14" spans="2:5" x14ac:dyDescent="0.25">
      <c r="B14" s="4" t="s">
        <v>13</v>
      </c>
      <c r="C14" s="4" t="s">
        <v>14</v>
      </c>
      <c r="D14" s="4" t="s">
        <v>15</v>
      </c>
      <c r="E14" s="4" t="s">
        <v>16</v>
      </c>
    </row>
    <row r="15" spans="2:5" x14ac:dyDescent="0.25">
      <c r="B15" s="5">
        <v>1</v>
      </c>
      <c r="C15" s="7">
        <f>B15-3</f>
        <v>-2</v>
      </c>
      <c r="D15" s="6" t="s">
        <v>17</v>
      </c>
      <c r="E15" s="6" t="e">
        <f ca="1">_xlfn.TEXTJOIN(", ",TRUE(),1+$C15,2+$C15,3+$C15,4+$C15,5+$C15,6+$C15)</f>
        <v>#NAME?</v>
      </c>
    </row>
    <row r="16" spans="2:5" x14ac:dyDescent="0.25">
      <c r="B16" s="5">
        <v>2</v>
      </c>
      <c r="C16" s="7">
        <f>B16-3</f>
        <v>-1</v>
      </c>
      <c r="D16" s="6" t="s">
        <v>18</v>
      </c>
      <c r="E16" s="6" t="e">
        <f ca="1">_xlfn.TEXTJOIN(", ",TRUE(),1+$C16,2+$C16,3+$C16,4+$C16,5+$C16,6+$C16)</f>
        <v>#NAME?</v>
      </c>
    </row>
    <row r="17" spans="2:5" x14ac:dyDescent="0.25">
      <c r="B17" s="5">
        <v>3</v>
      </c>
      <c r="C17" s="7">
        <f>B17-3</f>
        <v>0</v>
      </c>
      <c r="D17" s="6" t="s">
        <v>19</v>
      </c>
      <c r="E17" s="6" t="e">
        <f ca="1">_xlfn.TEXTJOIN(", ",TRUE(),1+$C17,2+$C17,3+$C17,4+$C17,5+$C17,6+$C17)</f>
        <v>#NAME?</v>
      </c>
    </row>
    <row r="18" spans="2:5" x14ac:dyDescent="0.25">
      <c r="B18" s="5">
        <v>4</v>
      </c>
      <c r="C18" s="7">
        <f>B18-3</f>
        <v>1</v>
      </c>
      <c r="D18" s="6" t="s">
        <v>20</v>
      </c>
      <c r="E18" s="6" t="e">
        <f ca="1">_xlfn.TEXTJOIN(", ",TRUE(),1+$C18,2+$C18,3+$C18,4+$C18,5+$C18,6+$C18)</f>
        <v>#NAME?</v>
      </c>
    </row>
    <row r="19" spans="2:5" x14ac:dyDescent="0.25">
      <c r="B19" s="5">
        <v>5</v>
      </c>
      <c r="C19" s="7">
        <f>B19-3</f>
        <v>2</v>
      </c>
      <c r="D19" s="6" t="s">
        <v>21</v>
      </c>
      <c r="E19" s="6" t="e">
        <f ca="1">_xlfn.TEXTJOIN(", ",TRUE(),1+$C19,2+$C19,3+$C19,4+$C19,5+$C19,6+$C19)</f>
        <v>#NAME?</v>
      </c>
    </row>
    <row r="20" spans="2:5" x14ac:dyDescent="0.25">
      <c r="B20" s="2" t="s">
        <v>22</v>
      </c>
    </row>
    <row r="22" spans="2:5" x14ac:dyDescent="0.25">
      <c r="B22" s="3" t="s">
        <v>23</v>
      </c>
    </row>
    <row r="23" spans="2:5" x14ac:dyDescent="0.25">
      <c r="B23" s="4" t="s">
        <v>24</v>
      </c>
      <c r="C23" s="4" t="s">
        <v>25</v>
      </c>
      <c r="D23" s="4" t="s">
        <v>26</v>
      </c>
    </row>
    <row r="24" spans="2:5" x14ac:dyDescent="0.25">
      <c r="B24" s="7">
        <v>2</v>
      </c>
      <c r="C24" s="7">
        <f t="shared" ref="C24:C34" si="0">6-ABS(B24-7)</f>
        <v>1</v>
      </c>
      <c r="D24" s="8">
        <f t="shared" ref="D24:D34" si="1">C24/SUM($C$24:$C$34)</f>
        <v>2.7777777777777776E-2</v>
      </c>
    </row>
    <row r="25" spans="2:5" x14ac:dyDescent="0.25">
      <c r="B25" s="7">
        <v>3</v>
      </c>
      <c r="C25" s="7">
        <f t="shared" si="0"/>
        <v>2</v>
      </c>
      <c r="D25" s="8">
        <f t="shared" si="1"/>
        <v>5.5555555555555552E-2</v>
      </c>
    </row>
    <row r="26" spans="2:5" x14ac:dyDescent="0.25">
      <c r="B26" s="7">
        <v>4</v>
      </c>
      <c r="C26" s="7">
        <f t="shared" si="0"/>
        <v>3</v>
      </c>
      <c r="D26" s="8">
        <f t="shared" si="1"/>
        <v>8.3333333333333329E-2</v>
      </c>
    </row>
    <row r="27" spans="2:5" x14ac:dyDescent="0.25">
      <c r="B27" s="7">
        <v>5</v>
      </c>
      <c r="C27" s="7">
        <f t="shared" si="0"/>
        <v>4</v>
      </c>
      <c r="D27" s="8">
        <f t="shared" si="1"/>
        <v>0.1111111111111111</v>
      </c>
    </row>
    <row r="28" spans="2:5" x14ac:dyDescent="0.25">
      <c r="B28" s="7">
        <v>6</v>
      </c>
      <c r="C28" s="7">
        <f t="shared" si="0"/>
        <v>5</v>
      </c>
      <c r="D28" s="8">
        <f t="shared" si="1"/>
        <v>0.1388888888888889</v>
      </c>
    </row>
    <row r="29" spans="2:5" x14ac:dyDescent="0.25">
      <c r="B29" s="7">
        <v>7</v>
      </c>
      <c r="C29" s="7">
        <f t="shared" si="0"/>
        <v>6</v>
      </c>
      <c r="D29" s="8">
        <f t="shared" si="1"/>
        <v>0.16666666666666666</v>
      </c>
    </row>
    <row r="30" spans="2:5" x14ac:dyDescent="0.25">
      <c r="B30" s="7">
        <v>8</v>
      </c>
      <c r="C30" s="7">
        <f t="shared" si="0"/>
        <v>5</v>
      </c>
      <c r="D30" s="8">
        <f t="shared" si="1"/>
        <v>0.1388888888888889</v>
      </c>
    </row>
    <row r="31" spans="2:5" x14ac:dyDescent="0.25">
      <c r="B31" s="7">
        <v>9</v>
      </c>
      <c r="C31" s="7">
        <f t="shared" si="0"/>
        <v>4</v>
      </c>
      <c r="D31" s="8">
        <f t="shared" si="1"/>
        <v>0.1111111111111111</v>
      </c>
    </row>
    <row r="32" spans="2:5" x14ac:dyDescent="0.25">
      <c r="B32" s="7">
        <v>10</v>
      </c>
      <c r="C32" s="7">
        <f t="shared" si="0"/>
        <v>3</v>
      </c>
      <c r="D32" s="8">
        <f t="shared" si="1"/>
        <v>8.3333333333333329E-2</v>
      </c>
    </row>
    <row r="33" spans="2:4" x14ac:dyDescent="0.25">
      <c r="B33" s="7">
        <v>11</v>
      </c>
      <c r="C33" s="7">
        <f t="shared" si="0"/>
        <v>2</v>
      </c>
      <c r="D33" s="8">
        <f t="shared" si="1"/>
        <v>5.5555555555555552E-2</v>
      </c>
    </row>
    <row r="34" spans="2:4" x14ac:dyDescent="0.25">
      <c r="B34" s="7">
        <v>12</v>
      </c>
      <c r="C34" s="7">
        <f t="shared" si="0"/>
        <v>1</v>
      </c>
      <c r="D34" s="8">
        <f t="shared" si="1"/>
        <v>2.7777777777777776E-2</v>
      </c>
    </row>
    <row r="35" spans="2:4" x14ac:dyDescent="0.25">
      <c r="B35" s="9" t="s">
        <v>27</v>
      </c>
      <c r="C35" s="10">
        <f>SUM(C24:C34)</f>
        <v>36</v>
      </c>
      <c r="D35" s="11">
        <f>SUM(D24:D34)</f>
        <v>1.0000000000000002</v>
      </c>
    </row>
    <row r="37" spans="2:4" x14ac:dyDescent="0.25">
      <c r="B37" s="3" t="s">
        <v>28</v>
      </c>
    </row>
    <row r="38" spans="2:4" x14ac:dyDescent="0.25">
      <c r="B38" s="12" t="s">
        <v>29</v>
      </c>
    </row>
    <row r="39" spans="2:4" x14ac:dyDescent="0.25">
      <c r="B39" s="12" t="s">
        <v>30</v>
      </c>
    </row>
    <row r="40" spans="2:4" x14ac:dyDescent="0.25">
      <c r="B40" s="2" t="s">
        <v>31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6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L33" sqref="L33"/>
    </sheetView>
  </sheetViews>
  <sheetFormatPr defaultColWidth="8.7109375" defaultRowHeight="15" x14ac:dyDescent="0.25"/>
  <cols>
    <col min="1" max="2" width="12" customWidth="1"/>
    <col min="3" max="3" width="11" customWidth="1"/>
    <col min="4" max="4" width="9" customWidth="1"/>
    <col min="5" max="5" width="11" customWidth="1"/>
    <col min="6" max="6" width="9" customWidth="1"/>
    <col min="7" max="7" width="11" customWidth="1"/>
    <col min="8" max="8" width="9" customWidth="1"/>
    <col min="9" max="9" width="11" customWidth="1"/>
    <col min="10" max="10" width="9" customWidth="1"/>
    <col min="11" max="11" width="11" customWidth="1"/>
    <col min="12" max="12" width="9" customWidth="1"/>
  </cols>
  <sheetData>
    <row r="1" spans="1:12" ht="18" x14ac:dyDescent="0.25">
      <c r="A1" s="1" t="s">
        <v>32</v>
      </c>
    </row>
    <row r="2" spans="1:12" x14ac:dyDescent="0.25">
      <c r="A2" s="2" t="s">
        <v>33</v>
      </c>
    </row>
    <row r="3" spans="1:12" ht="27.75" customHeight="1" x14ac:dyDescent="0.25">
      <c r="A3" s="13" t="s">
        <v>13</v>
      </c>
      <c r="B3" s="13" t="s">
        <v>34</v>
      </c>
      <c r="C3" s="13" t="s">
        <v>35</v>
      </c>
      <c r="D3" s="13" t="s">
        <v>36</v>
      </c>
      <c r="E3" s="13" t="s">
        <v>37</v>
      </c>
      <c r="F3" s="13" t="s">
        <v>38</v>
      </c>
      <c r="G3" s="13" t="s">
        <v>39</v>
      </c>
      <c r="H3" s="13" t="s">
        <v>40</v>
      </c>
      <c r="I3" s="13" t="s">
        <v>41</v>
      </c>
      <c r="J3" s="13" t="s">
        <v>42</v>
      </c>
      <c r="K3" s="13" t="s">
        <v>43</v>
      </c>
      <c r="L3" s="13" t="s">
        <v>44</v>
      </c>
    </row>
    <row r="4" spans="1:12" x14ac:dyDescent="0.25">
      <c r="A4" s="14">
        <v>1</v>
      </c>
      <c r="B4" s="14">
        <v>0</v>
      </c>
      <c r="C4" s="14">
        <v>1</v>
      </c>
      <c r="D4" s="15">
        <f>SUMPRODUCT((Assumptions!$B$24:$B$34&gt;=INDEX(Assumptions!$C$6:$C$10,MATCH(C4,Assumptions!$B$6:$B$10,0))-2*INDEX(Assumptions!$C$15:$C$19,MATCH($A4,Assumptions!$B$15:$B$19,0))-$B4)*Assumptions!$C$24:$C$34)/SUM(Assumptions!$C$24:$C$34)</f>
        <v>0.41666666666666669</v>
      </c>
      <c r="E4" s="14">
        <v>2</v>
      </c>
      <c r="F4" s="15">
        <f>SUMPRODUCT((Assumptions!$B$24:$B$34&gt;=INDEX(Assumptions!$C$6:$C$10,MATCH(E4,Assumptions!$B$6:$B$10,0))-2*INDEX(Assumptions!$C$15:$C$19,MATCH($A4,Assumptions!$B$15:$B$19,0))-$B4)*Assumptions!$C$24:$C$34)/SUM(Assumptions!$C$24:$C$34)</f>
        <v>8.3333333333333329E-2</v>
      </c>
      <c r="G4" s="14">
        <v>3</v>
      </c>
      <c r="H4" s="15">
        <f>SUMPRODUCT((Assumptions!$B$24:$B$34&gt;=INDEX(Assumptions!$C$6:$C$10,MATCH(G4,Assumptions!$B$6:$B$10,0))-2*INDEX(Assumptions!$C$15:$C$19,MATCH($A4,Assumptions!$B$15:$B$19,0))-$B4)*Assumptions!$C$24:$C$34)/SUM(Assumptions!$C$24:$C$34)</f>
        <v>0</v>
      </c>
      <c r="I4" s="14">
        <v>4</v>
      </c>
      <c r="J4" s="15">
        <f>SUMPRODUCT((Assumptions!$B$24:$B$34&gt;=INDEX(Assumptions!$C$6:$C$10,MATCH(I4,Assumptions!$B$6:$B$10,0))-2*INDEX(Assumptions!$C$15:$C$19,MATCH($A4,Assumptions!$B$15:$B$19,0))-$B4)*Assumptions!$C$24:$C$34)/SUM(Assumptions!$C$24:$C$34)</f>
        <v>0</v>
      </c>
      <c r="K4" s="14">
        <v>5</v>
      </c>
      <c r="L4" s="15">
        <f>SUMPRODUCT((Assumptions!$B$24:$B$34&gt;=INDEX(Assumptions!$C$6:$C$10,MATCH(K4,Assumptions!$B$6:$B$10,0))-2*INDEX(Assumptions!$C$15:$C$19,MATCH($A4,Assumptions!$B$15:$B$19,0))-$B4)*Assumptions!$C$24:$C$34)/SUM(Assumptions!$C$24:$C$34)</f>
        <v>0</v>
      </c>
    </row>
    <row r="5" spans="1:12" x14ac:dyDescent="0.25">
      <c r="A5" s="14">
        <v>1</v>
      </c>
      <c r="B5" s="14">
        <v>1</v>
      </c>
      <c r="C5" s="14">
        <v>1</v>
      </c>
      <c r="D5" s="15">
        <f>SUMPRODUCT((Assumptions!$B$24:$B$34&gt;=INDEX(Assumptions!$C$6:$C$10,MATCH(C5,Assumptions!$B$6:$B$10,0))-2*INDEX(Assumptions!$C$15:$C$19,MATCH($A5,Assumptions!$B$15:$B$19,0))-$B5)*Assumptions!$C$24:$C$34)/SUM(Assumptions!$C$24:$C$34)</f>
        <v>0.58333333333333337</v>
      </c>
      <c r="E5" s="14">
        <v>2</v>
      </c>
      <c r="F5" s="15">
        <f>SUMPRODUCT((Assumptions!$B$24:$B$34&gt;=INDEX(Assumptions!$C$6:$C$10,MATCH(E5,Assumptions!$B$6:$B$10,0))-2*INDEX(Assumptions!$C$15:$C$19,MATCH($A5,Assumptions!$B$15:$B$19,0))-$B5)*Assumptions!$C$24:$C$34)/SUM(Assumptions!$C$24:$C$34)</f>
        <v>0.16666666666666666</v>
      </c>
      <c r="G5" s="14">
        <v>3</v>
      </c>
      <c r="H5" s="15">
        <f>SUMPRODUCT((Assumptions!$B$24:$B$34&gt;=INDEX(Assumptions!$C$6:$C$10,MATCH(G5,Assumptions!$B$6:$B$10,0))-2*INDEX(Assumptions!$C$15:$C$19,MATCH($A5,Assumptions!$B$15:$B$19,0))-$B5)*Assumptions!$C$24:$C$34)/SUM(Assumptions!$C$24:$C$34)</f>
        <v>0</v>
      </c>
      <c r="I5" s="14">
        <v>4</v>
      </c>
      <c r="J5" s="15">
        <f>SUMPRODUCT((Assumptions!$B$24:$B$34&gt;=INDEX(Assumptions!$C$6:$C$10,MATCH(I5,Assumptions!$B$6:$B$10,0))-2*INDEX(Assumptions!$C$15:$C$19,MATCH($A5,Assumptions!$B$15:$B$19,0))-$B5)*Assumptions!$C$24:$C$34)/SUM(Assumptions!$C$24:$C$34)</f>
        <v>0</v>
      </c>
      <c r="K5" s="14">
        <v>5</v>
      </c>
      <c r="L5" s="15">
        <f>SUMPRODUCT((Assumptions!$B$24:$B$34&gt;=INDEX(Assumptions!$C$6:$C$10,MATCH(K5,Assumptions!$B$6:$B$10,0))-2*INDEX(Assumptions!$C$15:$C$19,MATCH($A5,Assumptions!$B$15:$B$19,0))-$B5)*Assumptions!$C$24:$C$34)/SUM(Assumptions!$C$24:$C$34)</f>
        <v>0</v>
      </c>
    </row>
    <row r="6" spans="1:12" x14ac:dyDescent="0.25">
      <c r="A6" s="14">
        <v>1</v>
      </c>
      <c r="B6" s="14">
        <v>2</v>
      </c>
      <c r="C6" s="14">
        <v>1</v>
      </c>
      <c r="D6" s="15">
        <f>SUMPRODUCT((Assumptions!$B$24:$B$34&gt;=INDEX(Assumptions!$C$6:$C$10,MATCH(C6,Assumptions!$B$6:$B$10,0))-2*INDEX(Assumptions!$C$15:$C$19,MATCH($A6,Assumptions!$B$15:$B$19,0))-$B6)*Assumptions!$C$24:$C$34)/SUM(Assumptions!$C$24:$C$34)</f>
        <v>0.72222222222222221</v>
      </c>
      <c r="E6" s="14">
        <v>2</v>
      </c>
      <c r="F6" s="15">
        <f>SUMPRODUCT((Assumptions!$B$24:$B$34&gt;=INDEX(Assumptions!$C$6:$C$10,MATCH(E6,Assumptions!$B$6:$B$10,0))-2*INDEX(Assumptions!$C$15:$C$19,MATCH($A6,Assumptions!$B$15:$B$19,0))-$B6)*Assumptions!$C$24:$C$34)/SUM(Assumptions!$C$24:$C$34)</f>
        <v>0.27777777777777779</v>
      </c>
      <c r="G6" s="14">
        <v>3</v>
      </c>
      <c r="H6" s="15">
        <f>SUMPRODUCT((Assumptions!$B$24:$B$34&gt;=INDEX(Assumptions!$C$6:$C$10,MATCH(G6,Assumptions!$B$6:$B$10,0))-2*INDEX(Assumptions!$C$15:$C$19,MATCH($A6,Assumptions!$B$15:$B$19,0))-$B6)*Assumptions!$C$24:$C$34)/SUM(Assumptions!$C$24:$C$34)</f>
        <v>2.7777777777777776E-2</v>
      </c>
      <c r="I6" s="14">
        <v>4</v>
      </c>
      <c r="J6" s="15">
        <f>SUMPRODUCT((Assumptions!$B$24:$B$34&gt;=INDEX(Assumptions!$C$6:$C$10,MATCH(I6,Assumptions!$B$6:$B$10,0))-2*INDEX(Assumptions!$C$15:$C$19,MATCH($A6,Assumptions!$B$15:$B$19,0))-$B6)*Assumptions!$C$24:$C$34)/SUM(Assumptions!$C$24:$C$34)</f>
        <v>0</v>
      </c>
      <c r="K6" s="14">
        <v>5</v>
      </c>
      <c r="L6" s="15">
        <f>SUMPRODUCT((Assumptions!$B$24:$B$34&gt;=INDEX(Assumptions!$C$6:$C$10,MATCH(K6,Assumptions!$B$6:$B$10,0))-2*INDEX(Assumptions!$C$15:$C$19,MATCH($A6,Assumptions!$B$15:$B$19,0))-$B6)*Assumptions!$C$24:$C$34)/SUM(Assumptions!$C$24:$C$34)</f>
        <v>0</v>
      </c>
    </row>
    <row r="7" spans="1:12" x14ac:dyDescent="0.25">
      <c r="A7" s="14">
        <v>1</v>
      </c>
      <c r="B7" s="14">
        <v>3</v>
      </c>
      <c r="C7" s="14">
        <v>1</v>
      </c>
      <c r="D7" s="15">
        <f>SUMPRODUCT((Assumptions!$B$24:$B$34&gt;=INDEX(Assumptions!$C$6:$C$10,MATCH(C7,Assumptions!$B$6:$B$10,0))-2*INDEX(Assumptions!$C$15:$C$19,MATCH($A7,Assumptions!$B$15:$B$19,0))-$B7)*Assumptions!$C$24:$C$34)/SUM(Assumptions!$C$24:$C$34)</f>
        <v>0.83333333333333337</v>
      </c>
      <c r="E7" s="14">
        <v>2</v>
      </c>
      <c r="F7" s="15">
        <f>SUMPRODUCT((Assumptions!$B$24:$B$34&gt;=INDEX(Assumptions!$C$6:$C$10,MATCH(E7,Assumptions!$B$6:$B$10,0))-2*INDEX(Assumptions!$C$15:$C$19,MATCH($A7,Assumptions!$B$15:$B$19,0))-$B7)*Assumptions!$C$24:$C$34)/SUM(Assumptions!$C$24:$C$34)</f>
        <v>0.41666666666666669</v>
      </c>
      <c r="G7" s="14">
        <v>3</v>
      </c>
      <c r="H7" s="15">
        <f>SUMPRODUCT((Assumptions!$B$24:$B$34&gt;=INDEX(Assumptions!$C$6:$C$10,MATCH(G7,Assumptions!$B$6:$B$10,0))-2*INDEX(Assumptions!$C$15:$C$19,MATCH($A7,Assumptions!$B$15:$B$19,0))-$B7)*Assumptions!$C$24:$C$34)/SUM(Assumptions!$C$24:$C$34)</f>
        <v>8.3333333333333329E-2</v>
      </c>
      <c r="I7" s="14">
        <v>4</v>
      </c>
      <c r="J7" s="15">
        <f>SUMPRODUCT((Assumptions!$B$24:$B$34&gt;=INDEX(Assumptions!$C$6:$C$10,MATCH(I7,Assumptions!$B$6:$B$10,0))-2*INDEX(Assumptions!$C$15:$C$19,MATCH($A7,Assumptions!$B$15:$B$19,0))-$B7)*Assumptions!$C$24:$C$34)/SUM(Assumptions!$C$24:$C$34)</f>
        <v>0</v>
      </c>
      <c r="K7" s="14">
        <v>5</v>
      </c>
      <c r="L7" s="15">
        <f>SUMPRODUCT((Assumptions!$B$24:$B$34&gt;=INDEX(Assumptions!$C$6:$C$10,MATCH(K7,Assumptions!$B$6:$B$10,0))-2*INDEX(Assumptions!$C$15:$C$19,MATCH($A7,Assumptions!$B$15:$B$19,0))-$B7)*Assumptions!$C$24:$C$34)/SUM(Assumptions!$C$24:$C$34)</f>
        <v>0</v>
      </c>
    </row>
    <row r="8" spans="1:12" x14ac:dyDescent="0.25">
      <c r="A8" s="14">
        <v>1</v>
      </c>
      <c r="B8" s="14">
        <v>4</v>
      </c>
      <c r="C8" s="14">
        <v>1</v>
      </c>
      <c r="D8" s="15">
        <f>SUMPRODUCT((Assumptions!$B$24:$B$34&gt;=INDEX(Assumptions!$C$6:$C$10,MATCH(C8,Assumptions!$B$6:$B$10,0))-2*INDEX(Assumptions!$C$15:$C$19,MATCH($A8,Assumptions!$B$15:$B$19,0))-$B8)*Assumptions!$C$24:$C$34)/SUM(Assumptions!$C$24:$C$34)</f>
        <v>0.91666666666666663</v>
      </c>
      <c r="E8" s="14">
        <v>2</v>
      </c>
      <c r="F8" s="15">
        <f>SUMPRODUCT((Assumptions!$B$24:$B$34&gt;=INDEX(Assumptions!$C$6:$C$10,MATCH(E8,Assumptions!$B$6:$B$10,0))-2*INDEX(Assumptions!$C$15:$C$19,MATCH($A8,Assumptions!$B$15:$B$19,0))-$B8)*Assumptions!$C$24:$C$34)/SUM(Assumptions!$C$24:$C$34)</f>
        <v>0.58333333333333337</v>
      </c>
      <c r="G8" s="14">
        <v>3</v>
      </c>
      <c r="H8" s="15">
        <f>SUMPRODUCT((Assumptions!$B$24:$B$34&gt;=INDEX(Assumptions!$C$6:$C$10,MATCH(G8,Assumptions!$B$6:$B$10,0))-2*INDEX(Assumptions!$C$15:$C$19,MATCH($A8,Assumptions!$B$15:$B$19,0))-$B8)*Assumptions!$C$24:$C$34)/SUM(Assumptions!$C$24:$C$34)</f>
        <v>0.16666666666666666</v>
      </c>
      <c r="I8" s="14">
        <v>4</v>
      </c>
      <c r="J8" s="15">
        <f>SUMPRODUCT((Assumptions!$B$24:$B$34&gt;=INDEX(Assumptions!$C$6:$C$10,MATCH(I8,Assumptions!$B$6:$B$10,0))-2*INDEX(Assumptions!$C$15:$C$19,MATCH($A8,Assumptions!$B$15:$B$19,0))-$B8)*Assumptions!$C$24:$C$34)/SUM(Assumptions!$C$24:$C$34)</f>
        <v>0</v>
      </c>
      <c r="K8" s="14">
        <v>5</v>
      </c>
      <c r="L8" s="15">
        <f>SUMPRODUCT((Assumptions!$B$24:$B$34&gt;=INDEX(Assumptions!$C$6:$C$10,MATCH(K8,Assumptions!$B$6:$B$10,0))-2*INDEX(Assumptions!$C$15:$C$19,MATCH($A8,Assumptions!$B$15:$B$19,0))-$B8)*Assumptions!$C$24:$C$34)/SUM(Assumptions!$C$24:$C$34)</f>
        <v>0</v>
      </c>
    </row>
    <row r="9" spans="1:12" x14ac:dyDescent="0.25">
      <c r="A9" s="14">
        <v>1</v>
      </c>
      <c r="B9" s="14">
        <v>5</v>
      </c>
      <c r="C9" s="14">
        <v>1</v>
      </c>
      <c r="D9" s="15">
        <f>SUMPRODUCT((Assumptions!$B$24:$B$34&gt;=INDEX(Assumptions!$C$6:$C$10,MATCH(C9,Assumptions!$B$6:$B$10,0))-2*INDEX(Assumptions!$C$15:$C$19,MATCH($A9,Assumptions!$B$15:$B$19,0))-$B9)*Assumptions!$C$24:$C$34)/SUM(Assumptions!$C$24:$C$34)</f>
        <v>0.97222222222222221</v>
      </c>
      <c r="E9" s="14">
        <v>2</v>
      </c>
      <c r="F9" s="15">
        <f>SUMPRODUCT((Assumptions!$B$24:$B$34&gt;=INDEX(Assumptions!$C$6:$C$10,MATCH(E9,Assumptions!$B$6:$B$10,0))-2*INDEX(Assumptions!$C$15:$C$19,MATCH($A9,Assumptions!$B$15:$B$19,0))-$B9)*Assumptions!$C$24:$C$34)/SUM(Assumptions!$C$24:$C$34)</f>
        <v>0.72222222222222221</v>
      </c>
      <c r="G9" s="14">
        <v>3</v>
      </c>
      <c r="H9" s="15">
        <f>SUMPRODUCT((Assumptions!$B$24:$B$34&gt;=INDEX(Assumptions!$C$6:$C$10,MATCH(G9,Assumptions!$B$6:$B$10,0))-2*INDEX(Assumptions!$C$15:$C$19,MATCH($A9,Assumptions!$B$15:$B$19,0))-$B9)*Assumptions!$C$24:$C$34)/SUM(Assumptions!$C$24:$C$34)</f>
        <v>0.27777777777777779</v>
      </c>
      <c r="I9" s="14">
        <v>4</v>
      </c>
      <c r="J9" s="15">
        <f>SUMPRODUCT((Assumptions!$B$24:$B$34&gt;=INDEX(Assumptions!$C$6:$C$10,MATCH(I9,Assumptions!$B$6:$B$10,0))-2*INDEX(Assumptions!$C$15:$C$19,MATCH($A9,Assumptions!$B$15:$B$19,0))-$B9)*Assumptions!$C$24:$C$34)/SUM(Assumptions!$C$24:$C$34)</f>
        <v>2.7777777777777776E-2</v>
      </c>
      <c r="K9" s="14">
        <v>5</v>
      </c>
      <c r="L9" s="15">
        <f>SUMPRODUCT((Assumptions!$B$24:$B$34&gt;=INDEX(Assumptions!$C$6:$C$10,MATCH(K9,Assumptions!$B$6:$B$10,0))-2*INDEX(Assumptions!$C$15:$C$19,MATCH($A9,Assumptions!$B$15:$B$19,0))-$B9)*Assumptions!$C$24:$C$34)/SUM(Assumptions!$C$24:$C$34)</f>
        <v>0</v>
      </c>
    </row>
    <row r="10" spans="1:12" x14ac:dyDescent="0.25">
      <c r="A10" s="16">
        <v>2</v>
      </c>
      <c r="B10" s="16">
        <v>0</v>
      </c>
      <c r="C10" s="16">
        <v>1</v>
      </c>
      <c r="D10" s="17">
        <f>SUMPRODUCT((Assumptions!$B$24:$B$34&gt;=INDEX(Assumptions!$C$6:$C$10,MATCH(C10,Assumptions!$B$6:$B$10,0))-2*INDEX(Assumptions!$C$15:$C$19,MATCH($A10,Assumptions!$B$15:$B$19,0))-$B10)*Assumptions!$C$24:$C$34)/SUM(Assumptions!$C$24:$C$34)</f>
        <v>0.72222222222222221</v>
      </c>
      <c r="E10" s="16">
        <v>2</v>
      </c>
      <c r="F10" s="17">
        <f>SUMPRODUCT((Assumptions!$B$24:$B$34&gt;=INDEX(Assumptions!$C$6:$C$10,MATCH(E10,Assumptions!$B$6:$B$10,0))-2*INDEX(Assumptions!$C$15:$C$19,MATCH($A10,Assumptions!$B$15:$B$19,0))-$B10)*Assumptions!$C$24:$C$34)/SUM(Assumptions!$C$24:$C$34)</f>
        <v>0.27777777777777779</v>
      </c>
      <c r="G10" s="16">
        <v>3</v>
      </c>
      <c r="H10" s="17">
        <f>SUMPRODUCT((Assumptions!$B$24:$B$34&gt;=INDEX(Assumptions!$C$6:$C$10,MATCH(G10,Assumptions!$B$6:$B$10,0))-2*INDEX(Assumptions!$C$15:$C$19,MATCH($A10,Assumptions!$B$15:$B$19,0))-$B10)*Assumptions!$C$24:$C$34)/SUM(Assumptions!$C$24:$C$34)</f>
        <v>2.7777777777777776E-2</v>
      </c>
      <c r="I10" s="16">
        <v>4</v>
      </c>
      <c r="J10" s="17">
        <f>SUMPRODUCT((Assumptions!$B$24:$B$34&gt;=INDEX(Assumptions!$C$6:$C$10,MATCH(I10,Assumptions!$B$6:$B$10,0))-2*INDEX(Assumptions!$C$15:$C$19,MATCH($A10,Assumptions!$B$15:$B$19,0))-$B10)*Assumptions!$C$24:$C$34)/SUM(Assumptions!$C$24:$C$34)</f>
        <v>0</v>
      </c>
      <c r="K10" s="16">
        <v>5</v>
      </c>
      <c r="L10" s="17">
        <f>SUMPRODUCT((Assumptions!$B$24:$B$34&gt;=INDEX(Assumptions!$C$6:$C$10,MATCH(K10,Assumptions!$B$6:$B$10,0))-2*INDEX(Assumptions!$C$15:$C$19,MATCH($A10,Assumptions!$B$15:$B$19,0))-$B10)*Assumptions!$C$24:$C$34)/SUM(Assumptions!$C$24:$C$34)</f>
        <v>0</v>
      </c>
    </row>
    <row r="11" spans="1:12" x14ac:dyDescent="0.25">
      <c r="A11" s="16">
        <v>2</v>
      </c>
      <c r="B11" s="16">
        <v>1</v>
      </c>
      <c r="C11" s="16">
        <v>1</v>
      </c>
      <c r="D11" s="17">
        <f>SUMPRODUCT((Assumptions!$B$24:$B$34&gt;=INDEX(Assumptions!$C$6:$C$10,MATCH(C11,Assumptions!$B$6:$B$10,0))-2*INDEX(Assumptions!$C$15:$C$19,MATCH($A11,Assumptions!$B$15:$B$19,0))-$B11)*Assumptions!$C$24:$C$34)/SUM(Assumptions!$C$24:$C$34)</f>
        <v>0.83333333333333337</v>
      </c>
      <c r="E11" s="16">
        <v>2</v>
      </c>
      <c r="F11" s="17">
        <f>SUMPRODUCT((Assumptions!$B$24:$B$34&gt;=INDEX(Assumptions!$C$6:$C$10,MATCH(E11,Assumptions!$B$6:$B$10,0))-2*INDEX(Assumptions!$C$15:$C$19,MATCH($A11,Assumptions!$B$15:$B$19,0))-$B11)*Assumptions!$C$24:$C$34)/SUM(Assumptions!$C$24:$C$34)</f>
        <v>0.41666666666666669</v>
      </c>
      <c r="G11" s="16">
        <v>3</v>
      </c>
      <c r="H11" s="17">
        <f>SUMPRODUCT((Assumptions!$B$24:$B$34&gt;=INDEX(Assumptions!$C$6:$C$10,MATCH(G11,Assumptions!$B$6:$B$10,0))-2*INDEX(Assumptions!$C$15:$C$19,MATCH($A11,Assumptions!$B$15:$B$19,0))-$B11)*Assumptions!$C$24:$C$34)/SUM(Assumptions!$C$24:$C$34)</f>
        <v>8.3333333333333329E-2</v>
      </c>
      <c r="I11" s="16">
        <v>4</v>
      </c>
      <c r="J11" s="17">
        <f>SUMPRODUCT((Assumptions!$B$24:$B$34&gt;=INDEX(Assumptions!$C$6:$C$10,MATCH(I11,Assumptions!$B$6:$B$10,0))-2*INDEX(Assumptions!$C$15:$C$19,MATCH($A11,Assumptions!$B$15:$B$19,0))-$B11)*Assumptions!$C$24:$C$34)/SUM(Assumptions!$C$24:$C$34)</f>
        <v>0</v>
      </c>
      <c r="K11" s="16">
        <v>5</v>
      </c>
      <c r="L11" s="17">
        <f>SUMPRODUCT((Assumptions!$B$24:$B$34&gt;=INDEX(Assumptions!$C$6:$C$10,MATCH(K11,Assumptions!$B$6:$B$10,0))-2*INDEX(Assumptions!$C$15:$C$19,MATCH($A11,Assumptions!$B$15:$B$19,0))-$B11)*Assumptions!$C$24:$C$34)/SUM(Assumptions!$C$24:$C$34)</f>
        <v>0</v>
      </c>
    </row>
    <row r="12" spans="1:12" x14ac:dyDescent="0.25">
      <c r="A12" s="16">
        <v>2</v>
      </c>
      <c r="B12" s="16">
        <v>2</v>
      </c>
      <c r="C12" s="16">
        <v>1</v>
      </c>
      <c r="D12" s="17">
        <f>SUMPRODUCT((Assumptions!$B$24:$B$34&gt;=INDEX(Assumptions!$C$6:$C$10,MATCH(C12,Assumptions!$B$6:$B$10,0))-2*INDEX(Assumptions!$C$15:$C$19,MATCH($A12,Assumptions!$B$15:$B$19,0))-$B12)*Assumptions!$C$24:$C$34)/SUM(Assumptions!$C$24:$C$34)</f>
        <v>0.91666666666666663</v>
      </c>
      <c r="E12" s="16">
        <v>2</v>
      </c>
      <c r="F12" s="17">
        <f>SUMPRODUCT((Assumptions!$B$24:$B$34&gt;=INDEX(Assumptions!$C$6:$C$10,MATCH(E12,Assumptions!$B$6:$B$10,0))-2*INDEX(Assumptions!$C$15:$C$19,MATCH($A12,Assumptions!$B$15:$B$19,0))-$B12)*Assumptions!$C$24:$C$34)/SUM(Assumptions!$C$24:$C$34)</f>
        <v>0.58333333333333337</v>
      </c>
      <c r="G12" s="16">
        <v>3</v>
      </c>
      <c r="H12" s="17">
        <f>SUMPRODUCT((Assumptions!$B$24:$B$34&gt;=INDEX(Assumptions!$C$6:$C$10,MATCH(G12,Assumptions!$B$6:$B$10,0))-2*INDEX(Assumptions!$C$15:$C$19,MATCH($A12,Assumptions!$B$15:$B$19,0))-$B12)*Assumptions!$C$24:$C$34)/SUM(Assumptions!$C$24:$C$34)</f>
        <v>0.16666666666666666</v>
      </c>
      <c r="I12" s="16">
        <v>4</v>
      </c>
      <c r="J12" s="17">
        <f>SUMPRODUCT((Assumptions!$B$24:$B$34&gt;=INDEX(Assumptions!$C$6:$C$10,MATCH(I12,Assumptions!$B$6:$B$10,0))-2*INDEX(Assumptions!$C$15:$C$19,MATCH($A12,Assumptions!$B$15:$B$19,0))-$B12)*Assumptions!$C$24:$C$34)/SUM(Assumptions!$C$24:$C$34)</f>
        <v>0</v>
      </c>
      <c r="K12" s="16">
        <v>5</v>
      </c>
      <c r="L12" s="17">
        <f>SUMPRODUCT((Assumptions!$B$24:$B$34&gt;=INDEX(Assumptions!$C$6:$C$10,MATCH(K12,Assumptions!$B$6:$B$10,0))-2*INDEX(Assumptions!$C$15:$C$19,MATCH($A12,Assumptions!$B$15:$B$19,0))-$B12)*Assumptions!$C$24:$C$34)/SUM(Assumptions!$C$24:$C$34)</f>
        <v>0</v>
      </c>
    </row>
    <row r="13" spans="1:12" x14ac:dyDescent="0.25">
      <c r="A13" s="16">
        <v>2</v>
      </c>
      <c r="B13" s="16">
        <v>3</v>
      </c>
      <c r="C13" s="16">
        <v>1</v>
      </c>
      <c r="D13" s="17">
        <f>SUMPRODUCT((Assumptions!$B$24:$B$34&gt;=INDEX(Assumptions!$C$6:$C$10,MATCH(C13,Assumptions!$B$6:$B$10,0))-2*INDEX(Assumptions!$C$15:$C$19,MATCH($A13,Assumptions!$B$15:$B$19,0))-$B13)*Assumptions!$C$24:$C$34)/SUM(Assumptions!$C$24:$C$34)</f>
        <v>0.97222222222222221</v>
      </c>
      <c r="E13" s="16">
        <v>2</v>
      </c>
      <c r="F13" s="17">
        <f>SUMPRODUCT((Assumptions!$B$24:$B$34&gt;=INDEX(Assumptions!$C$6:$C$10,MATCH(E13,Assumptions!$B$6:$B$10,0))-2*INDEX(Assumptions!$C$15:$C$19,MATCH($A13,Assumptions!$B$15:$B$19,0))-$B13)*Assumptions!$C$24:$C$34)/SUM(Assumptions!$C$24:$C$34)</f>
        <v>0.72222222222222221</v>
      </c>
      <c r="G13" s="16">
        <v>3</v>
      </c>
      <c r="H13" s="17">
        <f>SUMPRODUCT((Assumptions!$B$24:$B$34&gt;=INDEX(Assumptions!$C$6:$C$10,MATCH(G13,Assumptions!$B$6:$B$10,0))-2*INDEX(Assumptions!$C$15:$C$19,MATCH($A13,Assumptions!$B$15:$B$19,0))-$B13)*Assumptions!$C$24:$C$34)/SUM(Assumptions!$C$24:$C$34)</f>
        <v>0.27777777777777779</v>
      </c>
      <c r="I13" s="16">
        <v>4</v>
      </c>
      <c r="J13" s="17">
        <f>SUMPRODUCT((Assumptions!$B$24:$B$34&gt;=INDEX(Assumptions!$C$6:$C$10,MATCH(I13,Assumptions!$B$6:$B$10,0))-2*INDEX(Assumptions!$C$15:$C$19,MATCH($A13,Assumptions!$B$15:$B$19,0))-$B13)*Assumptions!$C$24:$C$34)/SUM(Assumptions!$C$24:$C$34)</f>
        <v>2.7777777777777776E-2</v>
      </c>
      <c r="K13" s="16">
        <v>5</v>
      </c>
      <c r="L13" s="17">
        <f>SUMPRODUCT((Assumptions!$B$24:$B$34&gt;=INDEX(Assumptions!$C$6:$C$10,MATCH(K13,Assumptions!$B$6:$B$10,0))-2*INDEX(Assumptions!$C$15:$C$19,MATCH($A13,Assumptions!$B$15:$B$19,0))-$B13)*Assumptions!$C$24:$C$34)/SUM(Assumptions!$C$24:$C$34)</f>
        <v>0</v>
      </c>
    </row>
    <row r="14" spans="1:12" x14ac:dyDescent="0.25">
      <c r="A14" s="16">
        <v>2</v>
      </c>
      <c r="B14" s="16">
        <v>4</v>
      </c>
      <c r="C14" s="16">
        <v>1</v>
      </c>
      <c r="D14" s="17">
        <f>SUMPRODUCT((Assumptions!$B$24:$B$34&gt;=INDEX(Assumptions!$C$6:$C$10,MATCH(C14,Assumptions!$B$6:$B$10,0))-2*INDEX(Assumptions!$C$15:$C$19,MATCH($A14,Assumptions!$B$15:$B$19,0))-$B14)*Assumptions!$C$24:$C$34)/SUM(Assumptions!$C$24:$C$34)</f>
        <v>1</v>
      </c>
      <c r="E14" s="16">
        <v>2</v>
      </c>
      <c r="F14" s="17">
        <f>SUMPRODUCT((Assumptions!$B$24:$B$34&gt;=INDEX(Assumptions!$C$6:$C$10,MATCH(E14,Assumptions!$B$6:$B$10,0))-2*INDEX(Assumptions!$C$15:$C$19,MATCH($A14,Assumptions!$B$15:$B$19,0))-$B14)*Assumptions!$C$24:$C$34)/SUM(Assumptions!$C$24:$C$34)</f>
        <v>0.83333333333333337</v>
      </c>
      <c r="G14" s="16">
        <v>3</v>
      </c>
      <c r="H14" s="17">
        <f>SUMPRODUCT((Assumptions!$B$24:$B$34&gt;=INDEX(Assumptions!$C$6:$C$10,MATCH(G14,Assumptions!$B$6:$B$10,0))-2*INDEX(Assumptions!$C$15:$C$19,MATCH($A14,Assumptions!$B$15:$B$19,0))-$B14)*Assumptions!$C$24:$C$34)/SUM(Assumptions!$C$24:$C$34)</f>
        <v>0.41666666666666669</v>
      </c>
      <c r="I14" s="16">
        <v>4</v>
      </c>
      <c r="J14" s="17">
        <f>SUMPRODUCT((Assumptions!$B$24:$B$34&gt;=INDEX(Assumptions!$C$6:$C$10,MATCH(I14,Assumptions!$B$6:$B$10,0))-2*INDEX(Assumptions!$C$15:$C$19,MATCH($A14,Assumptions!$B$15:$B$19,0))-$B14)*Assumptions!$C$24:$C$34)/SUM(Assumptions!$C$24:$C$34)</f>
        <v>8.3333333333333329E-2</v>
      </c>
      <c r="K14" s="16">
        <v>5</v>
      </c>
      <c r="L14" s="17">
        <f>SUMPRODUCT((Assumptions!$B$24:$B$34&gt;=INDEX(Assumptions!$C$6:$C$10,MATCH(K14,Assumptions!$B$6:$B$10,0))-2*INDEX(Assumptions!$C$15:$C$19,MATCH($A14,Assumptions!$B$15:$B$19,0))-$B14)*Assumptions!$C$24:$C$34)/SUM(Assumptions!$C$24:$C$34)</f>
        <v>0</v>
      </c>
    </row>
    <row r="15" spans="1:12" x14ac:dyDescent="0.25">
      <c r="A15" s="16">
        <v>2</v>
      </c>
      <c r="B15" s="16">
        <v>5</v>
      </c>
      <c r="C15" s="16">
        <v>1</v>
      </c>
      <c r="D15" s="17">
        <f>SUMPRODUCT((Assumptions!$B$24:$B$34&gt;=INDEX(Assumptions!$C$6:$C$10,MATCH(C15,Assumptions!$B$6:$B$10,0))-2*INDEX(Assumptions!$C$15:$C$19,MATCH($A15,Assumptions!$B$15:$B$19,0))-$B15)*Assumptions!$C$24:$C$34)/SUM(Assumptions!$C$24:$C$34)</f>
        <v>1</v>
      </c>
      <c r="E15" s="16">
        <v>2</v>
      </c>
      <c r="F15" s="17">
        <f>SUMPRODUCT((Assumptions!$B$24:$B$34&gt;=INDEX(Assumptions!$C$6:$C$10,MATCH(E15,Assumptions!$B$6:$B$10,0))-2*INDEX(Assumptions!$C$15:$C$19,MATCH($A15,Assumptions!$B$15:$B$19,0))-$B15)*Assumptions!$C$24:$C$34)/SUM(Assumptions!$C$24:$C$34)</f>
        <v>0.91666666666666663</v>
      </c>
      <c r="G15" s="16">
        <v>3</v>
      </c>
      <c r="H15" s="17">
        <f>SUMPRODUCT((Assumptions!$B$24:$B$34&gt;=INDEX(Assumptions!$C$6:$C$10,MATCH(G15,Assumptions!$B$6:$B$10,0))-2*INDEX(Assumptions!$C$15:$C$19,MATCH($A15,Assumptions!$B$15:$B$19,0))-$B15)*Assumptions!$C$24:$C$34)/SUM(Assumptions!$C$24:$C$34)</f>
        <v>0.58333333333333337</v>
      </c>
      <c r="I15" s="16">
        <v>4</v>
      </c>
      <c r="J15" s="17">
        <f>SUMPRODUCT((Assumptions!$B$24:$B$34&gt;=INDEX(Assumptions!$C$6:$C$10,MATCH(I15,Assumptions!$B$6:$B$10,0))-2*INDEX(Assumptions!$C$15:$C$19,MATCH($A15,Assumptions!$B$15:$B$19,0))-$B15)*Assumptions!$C$24:$C$34)/SUM(Assumptions!$C$24:$C$34)</f>
        <v>0.16666666666666666</v>
      </c>
      <c r="K15" s="16">
        <v>5</v>
      </c>
      <c r="L15" s="17">
        <f>SUMPRODUCT((Assumptions!$B$24:$B$34&gt;=INDEX(Assumptions!$C$6:$C$10,MATCH(K15,Assumptions!$B$6:$B$10,0))-2*INDEX(Assumptions!$C$15:$C$19,MATCH($A15,Assumptions!$B$15:$B$19,0))-$B15)*Assumptions!$C$24:$C$34)/SUM(Assumptions!$C$24:$C$34)</f>
        <v>0</v>
      </c>
    </row>
    <row r="16" spans="1:12" x14ac:dyDescent="0.25">
      <c r="A16" s="14">
        <v>3</v>
      </c>
      <c r="B16" s="14">
        <v>0</v>
      </c>
      <c r="C16" s="14">
        <v>1</v>
      </c>
      <c r="D16" s="15">
        <f>SUMPRODUCT((Assumptions!$B$24:$B$34&gt;=INDEX(Assumptions!$C$6:$C$10,MATCH(C16,Assumptions!$B$6:$B$10,0))-2*INDEX(Assumptions!$C$15:$C$19,MATCH($A16,Assumptions!$B$15:$B$19,0))-$B16)*Assumptions!$C$24:$C$34)/SUM(Assumptions!$C$24:$C$34)</f>
        <v>0.91666666666666663</v>
      </c>
      <c r="E16" s="14">
        <v>2</v>
      </c>
      <c r="F16" s="15">
        <f>SUMPRODUCT((Assumptions!$B$24:$B$34&gt;=INDEX(Assumptions!$C$6:$C$10,MATCH(E16,Assumptions!$B$6:$B$10,0))-2*INDEX(Assumptions!$C$15:$C$19,MATCH($A16,Assumptions!$B$15:$B$19,0))-$B16)*Assumptions!$C$24:$C$34)/SUM(Assumptions!$C$24:$C$34)</f>
        <v>0.58333333333333337</v>
      </c>
      <c r="G16" s="14">
        <v>3</v>
      </c>
      <c r="H16" s="15">
        <f>SUMPRODUCT((Assumptions!$B$24:$B$34&gt;=INDEX(Assumptions!$C$6:$C$10,MATCH(G16,Assumptions!$B$6:$B$10,0))-2*INDEX(Assumptions!$C$15:$C$19,MATCH($A16,Assumptions!$B$15:$B$19,0))-$B16)*Assumptions!$C$24:$C$34)/SUM(Assumptions!$C$24:$C$34)</f>
        <v>0.16666666666666666</v>
      </c>
      <c r="I16" s="14">
        <v>4</v>
      </c>
      <c r="J16" s="15">
        <f>SUMPRODUCT((Assumptions!$B$24:$B$34&gt;=INDEX(Assumptions!$C$6:$C$10,MATCH(I16,Assumptions!$B$6:$B$10,0))-2*INDEX(Assumptions!$C$15:$C$19,MATCH($A16,Assumptions!$B$15:$B$19,0))-$B16)*Assumptions!$C$24:$C$34)/SUM(Assumptions!$C$24:$C$34)</f>
        <v>0</v>
      </c>
      <c r="K16" s="14">
        <v>5</v>
      </c>
      <c r="L16" s="15">
        <f>SUMPRODUCT((Assumptions!$B$24:$B$34&gt;=INDEX(Assumptions!$C$6:$C$10,MATCH(K16,Assumptions!$B$6:$B$10,0))-2*INDEX(Assumptions!$C$15:$C$19,MATCH($A16,Assumptions!$B$15:$B$19,0))-$B16)*Assumptions!$C$24:$C$34)/SUM(Assumptions!$C$24:$C$34)</f>
        <v>0</v>
      </c>
    </row>
    <row r="17" spans="1:12" x14ac:dyDescent="0.25">
      <c r="A17" s="14">
        <v>3</v>
      </c>
      <c r="B17" s="14">
        <v>1</v>
      </c>
      <c r="C17" s="14">
        <v>1</v>
      </c>
      <c r="D17" s="15">
        <f>SUMPRODUCT((Assumptions!$B$24:$B$34&gt;=INDEX(Assumptions!$C$6:$C$10,MATCH(C17,Assumptions!$B$6:$B$10,0))-2*INDEX(Assumptions!$C$15:$C$19,MATCH($A17,Assumptions!$B$15:$B$19,0))-$B17)*Assumptions!$C$24:$C$34)/SUM(Assumptions!$C$24:$C$34)</f>
        <v>0.97222222222222221</v>
      </c>
      <c r="E17" s="14">
        <v>2</v>
      </c>
      <c r="F17" s="15">
        <f>SUMPRODUCT((Assumptions!$B$24:$B$34&gt;=INDEX(Assumptions!$C$6:$C$10,MATCH(E17,Assumptions!$B$6:$B$10,0))-2*INDEX(Assumptions!$C$15:$C$19,MATCH($A17,Assumptions!$B$15:$B$19,0))-$B17)*Assumptions!$C$24:$C$34)/SUM(Assumptions!$C$24:$C$34)</f>
        <v>0.72222222222222221</v>
      </c>
      <c r="G17" s="14">
        <v>3</v>
      </c>
      <c r="H17" s="15">
        <f>SUMPRODUCT((Assumptions!$B$24:$B$34&gt;=INDEX(Assumptions!$C$6:$C$10,MATCH(G17,Assumptions!$B$6:$B$10,0))-2*INDEX(Assumptions!$C$15:$C$19,MATCH($A17,Assumptions!$B$15:$B$19,0))-$B17)*Assumptions!$C$24:$C$34)/SUM(Assumptions!$C$24:$C$34)</f>
        <v>0.27777777777777779</v>
      </c>
      <c r="I17" s="14">
        <v>4</v>
      </c>
      <c r="J17" s="15">
        <f>SUMPRODUCT((Assumptions!$B$24:$B$34&gt;=INDEX(Assumptions!$C$6:$C$10,MATCH(I17,Assumptions!$B$6:$B$10,0))-2*INDEX(Assumptions!$C$15:$C$19,MATCH($A17,Assumptions!$B$15:$B$19,0))-$B17)*Assumptions!$C$24:$C$34)/SUM(Assumptions!$C$24:$C$34)</f>
        <v>2.7777777777777776E-2</v>
      </c>
      <c r="K17" s="14">
        <v>5</v>
      </c>
      <c r="L17" s="15">
        <f>SUMPRODUCT((Assumptions!$B$24:$B$34&gt;=INDEX(Assumptions!$C$6:$C$10,MATCH(K17,Assumptions!$B$6:$B$10,0))-2*INDEX(Assumptions!$C$15:$C$19,MATCH($A17,Assumptions!$B$15:$B$19,0))-$B17)*Assumptions!$C$24:$C$34)/SUM(Assumptions!$C$24:$C$34)</f>
        <v>0</v>
      </c>
    </row>
    <row r="18" spans="1:12" x14ac:dyDescent="0.25">
      <c r="A18" s="14">
        <v>3</v>
      </c>
      <c r="B18" s="14">
        <v>2</v>
      </c>
      <c r="C18" s="14">
        <v>1</v>
      </c>
      <c r="D18" s="15">
        <f>SUMPRODUCT((Assumptions!$B$24:$B$34&gt;=INDEX(Assumptions!$C$6:$C$10,MATCH(C18,Assumptions!$B$6:$B$10,0))-2*INDEX(Assumptions!$C$15:$C$19,MATCH($A18,Assumptions!$B$15:$B$19,0))-$B18)*Assumptions!$C$24:$C$34)/SUM(Assumptions!$C$24:$C$34)</f>
        <v>1</v>
      </c>
      <c r="E18" s="14">
        <v>2</v>
      </c>
      <c r="F18" s="15">
        <f>SUMPRODUCT((Assumptions!$B$24:$B$34&gt;=INDEX(Assumptions!$C$6:$C$10,MATCH(E18,Assumptions!$B$6:$B$10,0))-2*INDEX(Assumptions!$C$15:$C$19,MATCH($A18,Assumptions!$B$15:$B$19,0))-$B18)*Assumptions!$C$24:$C$34)/SUM(Assumptions!$C$24:$C$34)</f>
        <v>0.83333333333333337</v>
      </c>
      <c r="G18" s="14">
        <v>3</v>
      </c>
      <c r="H18" s="15">
        <f>SUMPRODUCT((Assumptions!$B$24:$B$34&gt;=INDEX(Assumptions!$C$6:$C$10,MATCH(G18,Assumptions!$B$6:$B$10,0))-2*INDEX(Assumptions!$C$15:$C$19,MATCH($A18,Assumptions!$B$15:$B$19,0))-$B18)*Assumptions!$C$24:$C$34)/SUM(Assumptions!$C$24:$C$34)</f>
        <v>0.41666666666666669</v>
      </c>
      <c r="I18" s="14">
        <v>4</v>
      </c>
      <c r="J18" s="15">
        <f>SUMPRODUCT((Assumptions!$B$24:$B$34&gt;=INDEX(Assumptions!$C$6:$C$10,MATCH(I18,Assumptions!$B$6:$B$10,0))-2*INDEX(Assumptions!$C$15:$C$19,MATCH($A18,Assumptions!$B$15:$B$19,0))-$B18)*Assumptions!$C$24:$C$34)/SUM(Assumptions!$C$24:$C$34)</f>
        <v>8.3333333333333329E-2</v>
      </c>
      <c r="K18" s="14">
        <v>5</v>
      </c>
      <c r="L18" s="15">
        <f>SUMPRODUCT((Assumptions!$B$24:$B$34&gt;=INDEX(Assumptions!$C$6:$C$10,MATCH(K18,Assumptions!$B$6:$B$10,0))-2*INDEX(Assumptions!$C$15:$C$19,MATCH($A18,Assumptions!$B$15:$B$19,0))-$B18)*Assumptions!$C$24:$C$34)/SUM(Assumptions!$C$24:$C$34)</f>
        <v>0</v>
      </c>
    </row>
    <row r="19" spans="1:12" x14ac:dyDescent="0.25">
      <c r="A19" s="14">
        <v>3</v>
      </c>
      <c r="B19" s="14">
        <v>3</v>
      </c>
      <c r="C19" s="14">
        <v>1</v>
      </c>
      <c r="D19" s="15">
        <f>SUMPRODUCT((Assumptions!$B$24:$B$34&gt;=INDEX(Assumptions!$C$6:$C$10,MATCH(C19,Assumptions!$B$6:$B$10,0))-2*INDEX(Assumptions!$C$15:$C$19,MATCH($A19,Assumptions!$B$15:$B$19,0))-$B19)*Assumptions!$C$24:$C$34)/SUM(Assumptions!$C$24:$C$34)</f>
        <v>1</v>
      </c>
      <c r="E19" s="14">
        <v>2</v>
      </c>
      <c r="F19" s="15">
        <f>SUMPRODUCT((Assumptions!$B$24:$B$34&gt;=INDEX(Assumptions!$C$6:$C$10,MATCH(E19,Assumptions!$B$6:$B$10,0))-2*INDEX(Assumptions!$C$15:$C$19,MATCH($A19,Assumptions!$B$15:$B$19,0))-$B19)*Assumptions!$C$24:$C$34)/SUM(Assumptions!$C$24:$C$34)</f>
        <v>0.91666666666666663</v>
      </c>
      <c r="G19" s="14">
        <v>3</v>
      </c>
      <c r="H19" s="15">
        <f>SUMPRODUCT((Assumptions!$B$24:$B$34&gt;=INDEX(Assumptions!$C$6:$C$10,MATCH(G19,Assumptions!$B$6:$B$10,0))-2*INDEX(Assumptions!$C$15:$C$19,MATCH($A19,Assumptions!$B$15:$B$19,0))-$B19)*Assumptions!$C$24:$C$34)/SUM(Assumptions!$C$24:$C$34)</f>
        <v>0.58333333333333337</v>
      </c>
      <c r="I19" s="14">
        <v>4</v>
      </c>
      <c r="J19" s="15">
        <f>SUMPRODUCT((Assumptions!$B$24:$B$34&gt;=INDEX(Assumptions!$C$6:$C$10,MATCH(I19,Assumptions!$B$6:$B$10,0))-2*INDEX(Assumptions!$C$15:$C$19,MATCH($A19,Assumptions!$B$15:$B$19,0))-$B19)*Assumptions!$C$24:$C$34)/SUM(Assumptions!$C$24:$C$34)</f>
        <v>0.16666666666666666</v>
      </c>
      <c r="K19" s="14">
        <v>5</v>
      </c>
      <c r="L19" s="15">
        <f>SUMPRODUCT((Assumptions!$B$24:$B$34&gt;=INDEX(Assumptions!$C$6:$C$10,MATCH(K19,Assumptions!$B$6:$B$10,0))-2*INDEX(Assumptions!$C$15:$C$19,MATCH($A19,Assumptions!$B$15:$B$19,0))-$B19)*Assumptions!$C$24:$C$34)/SUM(Assumptions!$C$24:$C$34)</f>
        <v>0</v>
      </c>
    </row>
    <row r="20" spans="1:12" x14ac:dyDescent="0.25">
      <c r="A20" s="14">
        <v>3</v>
      </c>
      <c r="B20" s="14">
        <v>4</v>
      </c>
      <c r="C20" s="14">
        <v>1</v>
      </c>
      <c r="D20" s="15">
        <f>SUMPRODUCT((Assumptions!$B$24:$B$34&gt;=INDEX(Assumptions!$C$6:$C$10,MATCH(C20,Assumptions!$B$6:$B$10,0))-2*INDEX(Assumptions!$C$15:$C$19,MATCH($A20,Assumptions!$B$15:$B$19,0))-$B20)*Assumptions!$C$24:$C$34)/SUM(Assumptions!$C$24:$C$34)</f>
        <v>1</v>
      </c>
      <c r="E20" s="14">
        <v>2</v>
      </c>
      <c r="F20" s="15">
        <f>SUMPRODUCT((Assumptions!$B$24:$B$34&gt;=INDEX(Assumptions!$C$6:$C$10,MATCH(E20,Assumptions!$B$6:$B$10,0))-2*INDEX(Assumptions!$C$15:$C$19,MATCH($A20,Assumptions!$B$15:$B$19,0))-$B20)*Assumptions!$C$24:$C$34)/SUM(Assumptions!$C$24:$C$34)</f>
        <v>0.97222222222222221</v>
      </c>
      <c r="G20" s="14">
        <v>3</v>
      </c>
      <c r="H20" s="15">
        <f>SUMPRODUCT((Assumptions!$B$24:$B$34&gt;=INDEX(Assumptions!$C$6:$C$10,MATCH(G20,Assumptions!$B$6:$B$10,0))-2*INDEX(Assumptions!$C$15:$C$19,MATCH($A20,Assumptions!$B$15:$B$19,0))-$B20)*Assumptions!$C$24:$C$34)/SUM(Assumptions!$C$24:$C$34)</f>
        <v>0.72222222222222221</v>
      </c>
      <c r="I20" s="14">
        <v>4</v>
      </c>
      <c r="J20" s="15">
        <f>SUMPRODUCT((Assumptions!$B$24:$B$34&gt;=INDEX(Assumptions!$C$6:$C$10,MATCH(I20,Assumptions!$B$6:$B$10,0))-2*INDEX(Assumptions!$C$15:$C$19,MATCH($A20,Assumptions!$B$15:$B$19,0))-$B20)*Assumptions!$C$24:$C$34)/SUM(Assumptions!$C$24:$C$34)</f>
        <v>0.27777777777777779</v>
      </c>
      <c r="K20" s="14">
        <v>5</v>
      </c>
      <c r="L20" s="15">
        <f>SUMPRODUCT((Assumptions!$B$24:$B$34&gt;=INDEX(Assumptions!$C$6:$C$10,MATCH(K20,Assumptions!$B$6:$B$10,0))-2*INDEX(Assumptions!$C$15:$C$19,MATCH($A20,Assumptions!$B$15:$B$19,0))-$B20)*Assumptions!$C$24:$C$34)/SUM(Assumptions!$C$24:$C$34)</f>
        <v>2.7777777777777776E-2</v>
      </c>
    </row>
    <row r="21" spans="1:12" x14ac:dyDescent="0.25">
      <c r="A21" s="14">
        <v>3</v>
      </c>
      <c r="B21" s="14">
        <v>5</v>
      </c>
      <c r="C21" s="14">
        <v>1</v>
      </c>
      <c r="D21" s="15">
        <f>SUMPRODUCT((Assumptions!$B$24:$B$34&gt;=INDEX(Assumptions!$C$6:$C$10,MATCH(C21,Assumptions!$B$6:$B$10,0))-2*INDEX(Assumptions!$C$15:$C$19,MATCH($A21,Assumptions!$B$15:$B$19,0))-$B21)*Assumptions!$C$24:$C$34)/SUM(Assumptions!$C$24:$C$34)</f>
        <v>1</v>
      </c>
      <c r="E21" s="14">
        <v>2</v>
      </c>
      <c r="F21" s="15">
        <f>SUMPRODUCT((Assumptions!$B$24:$B$34&gt;=INDEX(Assumptions!$C$6:$C$10,MATCH(E21,Assumptions!$B$6:$B$10,0))-2*INDEX(Assumptions!$C$15:$C$19,MATCH($A21,Assumptions!$B$15:$B$19,0))-$B21)*Assumptions!$C$24:$C$34)/SUM(Assumptions!$C$24:$C$34)</f>
        <v>1</v>
      </c>
      <c r="G21" s="14">
        <v>3</v>
      </c>
      <c r="H21" s="15">
        <f>SUMPRODUCT((Assumptions!$B$24:$B$34&gt;=INDEX(Assumptions!$C$6:$C$10,MATCH(G21,Assumptions!$B$6:$B$10,0))-2*INDEX(Assumptions!$C$15:$C$19,MATCH($A21,Assumptions!$B$15:$B$19,0))-$B21)*Assumptions!$C$24:$C$34)/SUM(Assumptions!$C$24:$C$34)</f>
        <v>0.83333333333333337</v>
      </c>
      <c r="I21" s="14">
        <v>4</v>
      </c>
      <c r="J21" s="15">
        <f>SUMPRODUCT((Assumptions!$B$24:$B$34&gt;=INDEX(Assumptions!$C$6:$C$10,MATCH(I21,Assumptions!$B$6:$B$10,0))-2*INDEX(Assumptions!$C$15:$C$19,MATCH($A21,Assumptions!$B$15:$B$19,0))-$B21)*Assumptions!$C$24:$C$34)/SUM(Assumptions!$C$24:$C$34)</f>
        <v>0.41666666666666669</v>
      </c>
      <c r="K21" s="14">
        <v>5</v>
      </c>
      <c r="L21" s="15">
        <f>SUMPRODUCT((Assumptions!$B$24:$B$34&gt;=INDEX(Assumptions!$C$6:$C$10,MATCH(K21,Assumptions!$B$6:$B$10,0))-2*INDEX(Assumptions!$C$15:$C$19,MATCH($A21,Assumptions!$B$15:$B$19,0))-$B21)*Assumptions!$C$24:$C$34)/SUM(Assumptions!$C$24:$C$34)</f>
        <v>8.3333333333333329E-2</v>
      </c>
    </row>
    <row r="22" spans="1:12" x14ac:dyDescent="0.25">
      <c r="A22" s="16">
        <v>4</v>
      </c>
      <c r="B22" s="16">
        <v>0</v>
      </c>
      <c r="C22" s="16">
        <v>1</v>
      </c>
      <c r="D22" s="17">
        <f>SUMPRODUCT((Assumptions!$B$24:$B$34&gt;=INDEX(Assumptions!$C$6:$C$10,MATCH(C22,Assumptions!$B$6:$B$10,0))-2*INDEX(Assumptions!$C$15:$C$19,MATCH($A22,Assumptions!$B$15:$B$19,0))-$B22)*Assumptions!$C$24:$C$34)/SUM(Assumptions!$C$24:$C$34)</f>
        <v>1</v>
      </c>
      <c r="E22" s="16">
        <v>2</v>
      </c>
      <c r="F22" s="17">
        <f>SUMPRODUCT((Assumptions!$B$24:$B$34&gt;=INDEX(Assumptions!$C$6:$C$10,MATCH(E22,Assumptions!$B$6:$B$10,0))-2*INDEX(Assumptions!$C$15:$C$19,MATCH($A22,Assumptions!$B$15:$B$19,0))-$B22)*Assumptions!$C$24:$C$34)/SUM(Assumptions!$C$24:$C$34)</f>
        <v>0.83333333333333337</v>
      </c>
      <c r="G22" s="16">
        <v>3</v>
      </c>
      <c r="H22" s="17">
        <f>SUMPRODUCT((Assumptions!$B$24:$B$34&gt;=INDEX(Assumptions!$C$6:$C$10,MATCH(G22,Assumptions!$B$6:$B$10,0))-2*INDEX(Assumptions!$C$15:$C$19,MATCH($A22,Assumptions!$B$15:$B$19,0))-$B22)*Assumptions!$C$24:$C$34)/SUM(Assumptions!$C$24:$C$34)</f>
        <v>0.41666666666666669</v>
      </c>
      <c r="I22" s="16">
        <v>4</v>
      </c>
      <c r="J22" s="17">
        <f>SUMPRODUCT((Assumptions!$B$24:$B$34&gt;=INDEX(Assumptions!$C$6:$C$10,MATCH(I22,Assumptions!$B$6:$B$10,0))-2*INDEX(Assumptions!$C$15:$C$19,MATCH($A22,Assumptions!$B$15:$B$19,0))-$B22)*Assumptions!$C$24:$C$34)/SUM(Assumptions!$C$24:$C$34)</f>
        <v>8.3333333333333329E-2</v>
      </c>
      <c r="K22" s="16">
        <v>5</v>
      </c>
      <c r="L22" s="17">
        <f>SUMPRODUCT((Assumptions!$B$24:$B$34&gt;=INDEX(Assumptions!$C$6:$C$10,MATCH(K22,Assumptions!$B$6:$B$10,0))-2*INDEX(Assumptions!$C$15:$C$19,MATCH($A22,Assumptions!$B$15:$B$19,0))-$B22)*Assumptions!$C$24:$C$34)/SUM(Assumptions!$C$24:$C$34)</f>
        <v>0</v>
      </c>
    </row>
    <row r="23" spans="1:12" x14ac:dyDescent="0.25">
      <c r="A23" s="16">
        <v>4</v>
      </c>
      <c r="B23" s="16">
        <v>1</v>
      </c>
      <c r="C23" s="16">
        <v>1</v>
      </c>
      <c r="D23" s="17">
        <f>SUMPRODUCT((Assumptions!$B$24:$B$34&gt;=INDEX(Assumptions!$C$6:$C$10,MATCH(C23,Assumptions!$B$6:$B$10,0))-2*INDEX(Assumptions!$C$15:$C$19,MATCH($A23,Assumptions!$B$15:$B$19,0))-$B23)*Assumptions!$C$24:$C$34)/SUM(Assumptions!$C$24:$C$34)</f>
        <v>1</v>
      </c>
      <c r="E23" s="16">
        <v>2</v>
      </c>
      <c r="F23" s="17">
        <f>SUMPRODUCT((Assumptions!$B$24:$B$34&gt;=INDEX(Assumptions!$C$6:$C$10,MATCH(E23,Assumptions!$B$6:$B$10,0))-2*INDEX(Assumptions!$C$15:$C$19,MATCH($A23,Assumptions!$B$15:$B$19,0))-$B23)*Assumptions!$C$24:$C$34)/SUM(Assumptions!$C$24:$C$34)</f>
        <v>0.91666666666666663</v>
      </c>
      <c r="G23" s="16">
        <v>3</v>
      </c>
      <c r="H23" s="17">
        <f>SUMPRODUCT((Assumptions!$B$24:$B$34&gt;=INDEX(Assumptions!$C$6:$C$10,MATCH(G23,Assumptions!$B$6:$B$10,0))-2*INDEX(Assumptions!$C$15:$C$19,MATCH($A23,Assumptions!$B$15:$B$19,0))-$B23)*Assumptions!$C$24:$C$34)/SUM(Assumptions!$C$24:$C$34)</f>
        <v>0.58333333333333337</v>
      </c>
      <c r="I23" s="16">
        <v>4</v>
      </c>
      <c r="J23" s="17">
        <f>SUMPRODUCT((Assumptions!$B$24:$B$34&gt;=INDEX(Assumptions!$C$6:$C$10,MATCH(I23,Assumptions!$B$6:$B$10,0))-2*INDEX(Assumptions!$C$15:$C$19,MATCH($A23,Assumptions!$B$15:$B$19,0))-$B23)*Assumptions!$C$24:$C$34)/SUM(Assumptions!$C$24:$C$34)</f>
        <v>0.16666666666666666</v>
      </c>
      <c r="K23" s="16">
        <v>5</v>
      </c>
      <c r="L23" s="17">
        <f>SUMPRODUCT((Assumptions!$B$24:$B$34&gt;=INDEX(Assumptions!$C$6:$C$10,MATCH(K23,Assumptions!$B$6:$B$10,0))-2*INDEX(Assumptions!$C$15:$C$19,MATCH($A23,Assumptions!$B$15:$B$19,0))-$B23)*Assumptions!$C$24:$C$34)/SUM(Assumptions!$C$24:$C$34)</f>
        <v>0</v>
      </c>
    </row>
    <row r="24" spans="1:12" x14ac:dyDescent="0.25">
      <c r="A24" s="16">
        <v>4</v>
      </c>
      <c r="B24" s="16">
        <v>2</v>
      </c>
      <c r="C24" s="16">
        <v>1</v>
      </c>
      <c r="D24" s="17">
        <f>SUMPRODUCT((Assumptions!$B$24:$B$34&gt;=INDEX(Assumptions!$C$6:$C$10,MATCH(C24,Assumptions!$B$6:$B$10,0))-2*INDEX(Assumptions!$C$15:$C$19,MATCH($A24,Assumptions!$B$15:$B$19,0))-$B24)*Assumptions!$C$24:$C$34)/SUM(Assumptions!$C$24:$C$34)</f>
        <v>1</v>
      </c>
      <c r="E24" s="16">
        <v>2</v>
      </c>
      <c r="F24" s="17">
        <f>SUMPRODUCT((Assumptions!$B$24:$B$34&gt;=INDEX(Assumptions!$C$6:$C$10,MATCH(E24,Assumptions!$B$6:$B$10,0))-2*INDEX(Assumptions!$C$15:$C$19,MATCH($A24,Assumptions!$B$15:$B$19,0))-$B24)*Assumptions!$C$24:$C$34)/SUM(Assumptions!$C$24:$C$34)</f>
        <v>0.97222222222222221</v>
      </c>
      <c r="G24" s="16">
        <v>3</v>
      </c>
      <c r="H24" s="17">
        <f>SUMPRODUCT((Assumptions!$B$24:$B$34&gt;=INDEX(Assumptions!$C$6:$C$10,MATCH(G24,Assumptions!$B$6:$B$10,0))-2*INDEX(Assumptions!$C$15:$C$19,MATCH($A24,Assumptions!$B$15:$B$19,0))-$B24)*Assumptions!$C$24:$C$34)/SUM(Assumptions!$C$24:$C$34)</f>
        <v>0.72222222222222221</v>
      </c>
      <c r="I24" s="16">
        <v>4</v>
      </c>
      <c r="J24" s="17">
        <f>SUMPRODUCT((Assumptions!$B$24:$B$34&gt;=INDEX(Assumptions!$C$6:$C$10,MATCH(I24,Assumptions!$B$6:$B$10,0))-2*INDEX(Assumptions!$C$15:$C$19,MATCH($A24,Assumptions!$B$15:$B$19,0))-$B24)*Assumptions!$C$24:$C$34)/SUM(Assumptions!$C$24:$C$34)</f>
        <v>0.27777777777777779</v>
      </c>
      <c r="K24" s="16">
        <v>5</v>
      </c>
      <c r="L24" s="17">
        <f>SUMPRODUCT((Assumptions!$B$24:$B$34&gt;=INDEX(Assumptions!$C$6:$C$10,MATCH(K24,Assumptions!$B$6:$B$10,0))-2*INDEX(Assumptions!$C$15:$C$19,MATCH($A24,Assumptions!$B$15:$B$19,0))-$B24)*Assumptions!$C$24:$C$34)/SUM(Assumptions!$C$24:$C$34)</f>
        <v>2.7777777777777776E-2</v>
      </c>
    </row>
    <row r="25" spans="1:12" x14ac:dyDescent="0.25">
      <c r="A25" s="16">
        <v>4</v>
      </c>
      <c r="B25" s="16">
        <v>3</v>
      </c>
      <c r="C25" s="16">
        <v>1</v>
      </c>
      <c r="D25" s="17">
        <f>SUMPRODUCT((Assumptions!$B$24:$B$34&gt;=INDEX(Assumptions!$C$6:$C$10,MATCH(C25,Assumptions!$B$6:$B$10,0))-2*INDEX(Assumptions!$C$15:$C$19,MATCH($A25,Assumptions!$B$15:$B$19,0))-$B25)*Assumptions!$C$24:$C$34)/SUM(Assumptions!$C$24:$C$34)</f>
        <v>1</v>
      </c>
      <c r="E25" s="16">
        <v>2</v>
      </c>
      <c r="F25" s="17">
        <f>SUMPRODUCT((Assumptions!$B$24:$B$34&gt;=INDEX(Assumptions!$C$6:$C$10,MATCH(E25,Assumptions!$B$6:$B$10,0))-2*INDEX(Assumptions!$C$15:$C$19,MATCH($A25,Assumptions!$B$15:$B$19,0))-$B25)*Assumptions!$C$24:$C$34)/SUM(Assumptions!$C$24:$C$34)</f>
        <v>1</v>
      </c>
      <c r="G25" s="16">
        <v>3</v>
      </c>
      <c r="H25" s="17">
        <f>SUMPRODUCT((Assumptions!$B$24:$B$34&gt;=INDEX(Assumptions!$C$6:$C$10,MATCH(G25,Assumptions!$B$6:$B$10,0))-2*INDEX(Assumptions!$C$15:$C$19,MATCH($A25,Assumptions!$B$15:$B$19,0))-$B25)*Assumptions!$C$24:$C$34)/SUM(Assumptions!$C$24:$C$34)</f>
        <v>0.83333333333333337</v>
      </c>
      <c r="I25" s="16">
        <v>4</v>
      </c>
      <c r="J25" s="17">
        <f>SUMPRODUCT((Assumptions!$B$24:$B$34&gt;=INDEX(Assumptions!$C$6:$C$10,MATCH(I25,Assumptions!$B$6:$B$10,0))-2*INDEX(Assumptions!$C$15:$C$19,MATCH($A25,Assumptions!$B$15:$B$19,0))-$B25)*Assumptions!$C$24:$C$34)/SUM(Assumptions!$C$24:$C$34)</f>
        <v>0.41666666666666669</v>
      </c>
      <c r="K25" s="16">
        <v>5</v>
      </c>
      <c r="L25" s="17">
        <f>SUMPRODUCT((Assumptions!$B$24:$B$34&gt;=INDEX(Assumptions!$C$6:$C$10,MATCH(K25,Assumptions!$B$6:$B$10,0))-2*INDEX(Assumptions!$C$15:$C$19,MATCH($A25,Assumptions!$B$15:$B$19,0))-$B25)*Assumptions!$C$24:$C$34)/SUM(Assumptions!$C$24:$C$34)</f>
        <v>8.3333333333333329E-2</v>
      </c>
    </row>
    <row r="26" spans="1:12" x14ac:dyDescent="0.25">
      <c r="A26" s="16">
        <v>4</v>
      </c>
      <c r="B26" s="16">
        <v>4</v>
      </c>
      <c r="C26" s="16">
        <v>1</v>
      </c>
      <c r="D26" s="17">
        <f>SUMPRODUCT((Assumptions!$B$24:$B$34&gt;=INDEX(Assumptions!$C$6:$C$10,MATCH(C26,Assumptions!$B$6:$B$10,0))-2*INDEX(Assumptions!$C$15:$C$19,MATCH($A26,Assumptions!$B$15:$B$19,0))-$B26)*Assumptions!$C$24:$C$34)/SUM(Assumptions!$C$24:$C$34)</f>
        <v>1</v>
      </c>
      <c r="E26" s="16">
        <v>2</v>
      </c>
      <c r="F26" s="17">
        <f>SUMPRODUCT((Assumptions!$B$24:$B$34&gt;=INDEX(Assumptions!$C$6:$C$10,MATCH(E26,Assumptions!$B$6:$B$10,0))-2*INDEX(Assumptions!$C$15:$C$19,MATCH($A26,Assumptions!$B$15:$B$19,0))-$B26)*Assumptions!$C$24:$C$34)/SUM(Assumptions!$C$24:$C$34)</f>
        <v>1</v>
      </c>
      <c r="G26" s="16">
        <v>3</v>
      </c>
      <c r="H26" s="17">
        <f>SUMPRODUCT((Assumptions!$B$24:$B$34&gt;=INDEX(Assumptions!$C$6:$C$10,MATCH(G26,Assumptions!$B$6:$B$10,0))-2*INDEX(Assumptions!$C$15:$C$19,MATCH($A26,Assumptions!$B$15:$B$19,0))-$B26)*Assumptions!$C$24:$C$34)/SUM(Assumptions!$C$24:$C$34)</f>
        <v>0.91666666666666663</v>
      </c>
      <c r="I26" s="16">
        <v>4</v>
      </c>
      <c r="J26" s="17">
        <f>SUMPRODUCT((Assumptions!$B$24:$B$34&gt;=INDEX(Assumptions!$C$6:$C$10,MATCH(I26,Assumptions!$B$6:$B$10,0))-2*INDEX(Assumptions!$C$15:$C$19,MATCH($A26,Assumptions!$B$15:$B$19,0))-$B26)*Assumptions!$C$24:$C$34)/SUM(Assumptions!$C$24:$C$34)</f>
        <v>0.58333333333333337</v>
      </c>
      <c r="K26" s="16">
        <v>5</v>
      </c>
      <c r="L26" s="17">
        <f>SUMPRODUCT((Assumptions!$B$24:$B$34&gt;=INDEX(Assumptions!$C$6:$C$10,MATCH(K26,Assumptions!$B$6:$B$10,0))-2*INDEX(Assumptions!$C$15:$C$19,MATCH($A26,Assumptions!$B$15:$B$19,0))-$B26)*Assumptions!$C$24:$C$34)/SUM(Assumptions!$C$24:$C$34)</f>
        <v>0.16666666666666666</v>
      </c>
    </row>
    <row r="27" spans="1:12" x14ac:dyDescent="0.25">
      <c r="A27" s="16">
        <v>4</v>
      </c>
      <c r="B27" s="16">
        <v>5</v>
      </c>
      <c r="C27" s="16">
        <v>1</v>
      </c>
      <c r="D27" s="17">
        <f>SUMPRODUCT((Assumptions!$B$24:$B$34&gt;=INDEX(Assumptions!$C$6:$C$10,MATCH(C27,Assumptions!$B$6:$B$10,0))-2*INDEX(Assumptions!$C$15:$C$19,MATCH($A27,Assumptions!$B$15:$B$19,0))-$B27)*Assumptions!$C$24:$C$34)/SUM(Assumptions!$C$24:$C$34)</f>
        <v>1</v>
      </c>
      <c r="E27" s="16">
        <v>2</v>
      </c>
      <c r="F27" s="17">
        <f>SUMPRODUCT((Assumptions!$B$24:$B$34&gt;=INDEX(Assumptions!$C$6:$C$10,MATCH(E27,Assumptions!$B$6:$B$10,0))-2*INDEX(Assumptions!$C$15:$C$19,MATCH($A27,Assumptions!$B$15:$B$19,0))-$B27)*Assumptions!$C$24:$C$34)/SUM(Assumptions!$C$24:$C$34)</f>
        <v>1</v>
      </c>
      <c r="G27" s="16">
        <v>3</v>
      </c>
      <c r="H27" s="17">
        <f>SUMPRODUCT((Assumptions!$B$24:$B$34&gt;=INDEX(Assumptions!$C$6:$C$10,MATCH(G27,Assumptions!$B$6:$B$10,0))-2*INDEX(Assumptions!$C$15:$C$19,MATCH($A27,Assumptions!$B$15:$B$19,0))-$B27)*Assumptions!$C$24:$C$34)/SUM(Assumptions!$C$24:$C$34)</f>
        <v>0.97222222222222221</v>
      </c>
      <c r="I27" s="16">
        <v>4</v>
      </c>
      <c r="J27" s="17">
        <f>SUMPRODUCT((Assumptions!$B$24:$B$34&gt;=INDEX(Assumptions!$C$6:$C$10,MATCH(I27,Assumptions!$B$6:$B$10,0))-2*INDEX(Assumptions!$C$15:$C$19,MATCH($A27,Assumptions!$B$15:$B$19,0))-$B27)*Assumptions!$C$24:$C$34)/SUM(Assumptions!$C$24:$C$34)</f>
        <v>0.72222222222222221</v>
      </c>
      <c r="K27" s="16">
        <v>5</v>
      </c>
      <c r="L27" s="17">
        <f>SUMPRODUCT((Assumptions!$B$24:$B$34&gt;=INDEX(Assumptions!$C$6:$C$10,MATCH(K27,Assumptions!$B$6:$B$10,0))-2*INDEX(Assumptions!$C$15:$C$19,MATCH($A27,Assumptions!$B$15:$B$19,0))-$B27)*Assumptions!$C$24:$C$34)/SUM(Assumptions!$C$24:$C$34)</f>
        <v>0.27777777777777779</v>
      </c>
    </row>
    <row r="28" spans="1:12" x14ac:dyDescent="0.25">
      <c r="A28" s="14">
        <v>5</v>
      </c>
      <c r="B28" s="14">
        <v>0</v>
      </c>
      <c r="C28" s="14">
        <v>1</v>
      </c>
      <c r="D28" s="15">
        <f>SUMPRODUCT((Assumptions!$B$24:$B$34&gt;=INDEX(Assumptions!$C$6:$C$10,MATCH(C28,Assumptions!$B$6:$B$10,0))-2*INDEX(Assumptions!$C$15:$C$19,MATCH($A28,Assumptions!$B$15:$B$19,0))-$B28)*Assumptions!$C$24:$C$34)/SUM(Assumptions!$C$24:$C$34)</f>
        <v>1</v>
      </c>
      <c r="E28" s="14">
        <v>2</v>
      </c>
      <c r="F28" s="15">
        <f>SUMPRODUCT((Assumptions!$B$24:$B$34&gt;=INDEX(Assumptions!$C$6:$C$10,MATCH(E28,Assumptions!$B$6:$B$10,0))-2*INDEX(Assumptions!$C$15:$C$19,MATCH($A28,Assumptions!$B$15:$B$19,0))-$B28)*Assumptions!$C$24:$C$34)/SUM(Assumptions!$C$24:$C$34)</f>
        <v>0.97222222222222221</v>
      </c>
      <c r="G28" s="14">
        <v>3</v>
      </c>
      <c r="H28" s="15">
        <f>SUMPRODUCT((Assumptions!$B$24:$B$34&gt;=INDEX(Assumptions!$C$6:$C$10,MATCH(G28,Assumptions!$B$6:$B$10,0))-2*INDEX(Assumptions!$C$15:$C$19,MATCH($A28,Assumptions!$B$15:$B$19,0))-$B28)*Assumptions!$C$24:$C$34)/SUM(Assumptions!$C$24:$C$34)</f>
        <v>0.72222222222222221</v>
      </c>
      <c r="I28" s="14">
        <v>4</v>
      </c>
      <c r="J28" s="15">
        <f>SUMPRODUCT((Assumptions!$B$24:$B$34&gt;=INDEX(Assumptions!$C$6:$C$10,MATCH(I28,Assumptions!$B$6:$B$10,0))-2*INDEX(Assumptions!$C$15:$C$19,MATCH($A28,Assumptions!$B$15:$B$19,0))-$B28)*Assumptions!$C$24:$C$34)/SUM(Assumptions!$C$24:$C$34)</f>
        <v>0.27777777777777779</v>
      </c>
      <c r="K28" s="14">
        <v>5</v>
      </c>
      <c r="L28" s="15">
        <f>SUMPRODUCT((Assumptions!$B$24:$B$34&gt;=INDEX(Assumptions!$C$6:$C$10,MATCH(K28,Assumptions!$B$6:$B$10,0))-2*INDEX(Assumptions!$C$15:$C$19,MATCH($A28,Assumptions!$B$15:$B$19,0))-$B28)*Assumptions!$C$24:$C$34)/SUM(Assumptions!$C$24:$C$34)</f>
        <v>2.7777777777777776E-2</v>
      </c>
    </row>
    <row r="29" spans="1:12" x14ac:dyDescent="0.25">
      <c r="A29" s="14">
        <v>5</v>
      </c>
      <c r="B29" s="14">
        <v>1</v>
      </c>
      <c r="C29" s="14">
        <v>1</v>
      </c>
      <c r="D29" s="15">
        <f>SUMPRODUCT((Assumptions!$B$24:$B$34&gt;=INDEX(Assumptions!$C$6:$C$10,MATCH(C29,Assumptions!$B$6:$B$10,0))-2*INDEX(Assumptions!$C$15:$C$19,MATCH($A29,Assumptions!$B$15:$B$19,0))-$B29)*Assumptions!$C$24:$C$34)/SUM(Assumptions!$C$24:$C$34)</f>
        <v>1</v>
      </c>
      <c r="E29" s="14">
        <v>2</v>
      </c>
      <c r="F29" s="15">
        <f>SUMPRODUCT((Assumptions!$B$24:$B$34&gt;=INDEX(Assumptions!$C$6:$C$10,MATCH(E29,Assumptions!$B$6:$B$10,0))-2*INDEX(Assumptions!$C$15:$C$19,MATCH($A29,Assumptions!$B$15:$B$19,0))-$B29)*Assumptions!$C$24:$C$34)/SUM(Assumptions!$C$24:$C$34)</f>
        <v>1</v>
      </c>
      <c r="G29" s="14">
        <v>3</v>
      </c>
      <c r="H29" s="15">
        <f>SUMPRODUCT((Assumptions!$B$24:$B$34&gt;=INDEX(Assumptions!$C$6:$C$10,MATCH(G29,Assumptions!$B$6:$B$10,0))-2*INDEX(Assumptions!$C$15:$C$19,MATCH($A29,Assumptions!$B$15:$B$19,0))-$B29)*Assumptions!$C$24:$C$34)/SUM(Assumptions!$C$24:$C$34)</f>
        <v>0.83333333333333337</v>
      </c>
      <c r="I29" s="14">
        <v>4</v>
      </c>
      <c r="J29" s="15">
        <f>SUMPRODUCT((Assumptions!$B$24:$B$34&gt;=INDEX(Assumptions!$C$6:$C$10,MATCH(I29,Assumptions!$B$6:$B$10,0))-2*INDEX(Assumptions!$C$15:$C$19,MATCH($A29,Assumptions!$B$15:$B$19,0))-$B29)*Assumptions!$C$24:$C$34)/SUM(Assumptions!$C$24:$C$34)</f>
        <v>0.41666666666666669</v>
      </c>
      <c r="K29" s="14">
        <v>5</v>
      </c>
      <c r="L29" s="15">
        <f>SUMPRODUCT((Assumptions!$B$24:$B$34&gt;=INDEX(Assumptions!$C$6:$C$10,MATCH(K29,Assumptions!$B$6:$B$10,0))-2*INDEX(Assumptions!$C$15:$C$19,MATCH($A29,Assumptions!$B$15:$B$19,0))-$B29)*Assumptions!$C$24:$C$34)/SUM(Assumptions!$C$24:$C$34)</f>
        <v>8.3333333333333329E-2</v>
      </c>
    </row>
    <row r="30" spans="1:12" x14ac:dyDescent="0.25">
      <c r="A30" s="14">
        <v>5</v>
      </c>
      <c r="B30" s="14">
        <v>2</v>
      </c>
      <c r="C30" s="14">
        <v>1</v>
      </c>
      <c r="D30" s="15">
        <f>SUMPRODUCT((Assumptions!$B$24:$B$34&gt;=INDEX(Assumptions!$C$6:$C$10,MATCH(C30,Assumptions!$B$6:$B$10,0))-2*INDEX(Assumptions!$C$15:$C$19,MATCH($A30,Assumptions!$B$15:$B$19,0))-$B30)*Assumptions!$C$24:$C$34)/SUM(Assumptions!$C$24:$C$34)</f>
        <v>1</v>
      </c>
      <c r="E30" s="14">
        <v>2</v>
      </c>
      <c r="F30" s="15">
        <f>SUMPRODUCT((Assumptions!$B$24:$B$34&gt;=INDEX(Assumptions!$C$6:$C$10,MATCH(E30,Assumptions!$B$6:$B$10,0))-2*INDEX(Assumptions!$C$15:$C$19,MATCH($A30,Assumptions!$B$15:$B$19,0))-$B30)*Assumptions!$C$24:$C$34)/SUM(Assumptions!$C$24:$C$34)</f>
        <v>1</v>
      </c>
      <c r="G30" s="14">
        <v>3</v>
      </c>
      <c r="H30" s="15">
        <f>SUMPRODUCT((Assumptions!$B$24:$B$34&gt;=INDEX(Assumptions!$C$6:$C$10,MATCH(G30,Assumptions!$B$6:$B$10,0))-2*INDEX(Assumptions!$C$15:$C$19,MATCH($A30,Assumptions!$B$15:$B$19,0))-$B30)*Assumptions!$C$24:$C$34)/SUM(Assumptions!$C$24:$C$34)</f>
        <v>0.91666666666666663</v>
      </c>
      <c r="I30" s="14">
        <v>4</v>
      </c>
      <c r="J30" s="15">
        <f>SUMPRODUCT((Assumptions!$B$24:$B$34&gt;=INDEX(Assumptions!$C$6:$C$10,MATCH(I30,Assumptions!$B$6:$B$10,0))-2*INDEX(Assumptions!$C$15:$C$19,MATCH($A30,Assumptions!$B$15:$B$19,0))-$B30)*Assumptions!$C$24:$C$34)/SUM(Assumptions!$C$24:$C$34)</f>
        <v>0.58333333333333337</v>
      </c>
      <c r="K30" s="14">
        <v>5</v>
      </c>
      <c r="L30" s="15">
        <f>SUMPRODUCT((Assumptions!$B$24:$B$34&gt;=INDEX(Assumptions!$C$6:$C$10,MATCH(K30,Assumptions!$B$6:$B$10,0))-2*INDEX(Assumptions!$C$15:$C$19,MATCH($A30,Assumptions!$B$15:$B$19,0))-$B30)*Assumptions!$C$24:$C$34)/SUM(Assumptions!$C$24:$C$34)</f>
        <v>0.16666666666666666</v>
      </c>
    </row>
    <row r="31" spans="1:12" x14ac:dyDescent="0.25">
      <c r="A31" s="14">
        <v>5</v>
      </c>
      <c r="B31" s="14">
        <v>3</v>
      </c>
      <c r="C31" s="14">
        <v>1</v>
      </c>
      <c r="D31" s="15">
        <f>SUMPRODUCT((Assumptions!$B$24:$B$34&gt;=INDEX(Assumptions!$C$6:$C$10,MATCH(C31,Assumptions!$B$6:$B$10,0))-2*INDEX(Assumptions!$C$15:$C$19,MATCH($A31,Assumptions!$B$15:$B$19,0))-$B31)*Assumptions!$C$24:$C$34)/SUM(Assumptions!$C$24:$C$34)</f>
        <v>1</v>
      </c>
      <c r="E31" s="14">
        <v>2</v>
      </c>
      <c r="F31" s="15">
        <f>SUMPRODUCT((Assumptions!$B$24:$B$34&gt;=INDEX(Assumptions!$C$6:$C$10,MATCH(E31,Assumptions!$B$6:$B$10,0))-2*INDEX(Assumptions!$C$15:$C$19,MATCH($A31,Assumptions!$B$15:$B$19,0))-$B31)*Assumptions!$C$24:$C$34)/SUM(Assumptions!$C$24:$C$34)</f>
        <v>1</v>
      </c>
      <c r="G31" s="14">
        <v>3</v>
      </c>
      <c r="H31" s="15">
        <f>SUMPRODUCT((Assumptions!$B$24:$B$34&gt;=INDEX(Assumptions!$C$6:$C$10,MATCH(G31,Assumptions!$B$6:$B$10,0))-2*INDEX(Assumptions!$C$15:$C$19,MATCH($A31,Assumptions!$B$15:$B$19,0))-$B31)*Assumptions!$C$24:$C$34)/SUM(Assumptions!$C$24:$C$34)</f>
        <v>0.97222222222222221</v>
      </c>
      <c r="I31" s="14">
        <v>4</v>
      </c>
      <c r="J31" s="15">
        <f>SUMPRODUCT((Assumptions!$B$24:$B$34&gt;=INDEX(Assumptions!$C$6:$C$10,MATCH(I31,Assumptions!$B$6:$B$10,0))-2*INDEX(Assumptions!$C$15:$C$19,MATCH($A31,Assumptions!$B$15:$B$19,0))-$B31)*Assumptions!$C$24:$C$34)/SUM(Assumptions!$C$24:$C$34)</f>
        <v>0.72222222222222221</v>
      </c>
      <c r="K31" s="14">
        <v>5</v>
      </c>
      <c r="L31" s="15">
        <f>SUMPRODUCT((Assumptions!$B$24:$B$34&gt;=INDEX(Assumptions!$C$6:$C$10,MATCH(K31,Assumptions!$B$6:$B$10,0))-2*INDEX(Assumptions!$C$15:$C$19,MATCH($A31,Assumptions!$B$15:$B$19,0))-$B31)*Assumptions!$C$24:$C$34)/SUM(Assumptions!$C$24:$C$34)</f>
        <v>0.27777777777777779</v>
      </c>
    </row>
    <row r="32" spans="1:12" x14ac:dyDescent="0.25">
      <c r="A32" s="14">
        <v>5</v>
      </c>
      <c r="B32" s="14">
        <v>4</v>
      </c>
      <c r="C32" s="14">
        <v>1</v>
      </c>
      <c r="D32" s="15">
        <f>SUMPRODUCT((Assumptions!$B$24:$B$34&gt;=INDEX(Assumptions!$C$6:$C$10,MATCH(C32,Assumptions!$B$6:$B$10,0))-2*INDEX(Assumptions!$C$15:$C$19,MATCH($A32,Assumptions!$B$15:$B$19,0))-$B32)*Assumptions!$C$24:$C$34)/SUM(Assumptions!$C$24:$C$34)</f>
        <v>1</v>
      </c>
      <c r="E32" s="14">
        <v>2</v>
      </c>
      <c r="F32" s="15">
        <f>SUMPRODUCT((Assumptions!$B$24:$B$34&gt;=INDEX(Assumptions!$C$6:$C$10,MATCH(E32,Assumptions!$B$6:$B$10,0))-2*INDEX(Assumptions!$C$15:$C$19,MATCH($A32,Assumptions!$B$15:$B$19,0))-$B32)*Assumptions!$C$24:$C$34)/SUM(Assumptions!$C$24:$C$34)</f>
        <v>1</v>
      </c>
      <c r="G32" s="14">
        <v>3</v>
      </c>
      <c r="H32" s="15">
        <f>SUMPRODUCT((Assumptions!$B$24:$B$34&gt;=INDEX(Assumptions!$C$6:$C$10,MATCH(G32,Assumptions!$B$6:$B$10,0))-2*INDEX(Assumptions!$C$15:$C$19,MATCH($A32,Assumptions!$B$15:$B$19,0))-$B32)*Assumptions!$C$24:$C$34)/SUM(Assumptions!$C$24:$C$34)</f>
        <v>1</v>
      </c>
      <c r="I32" s="14">
        <v>4</v>
      </c>
      <c r="J32" s="15">
        <f>SUMPRODUCT((Assumptions!$B$24:$B$34&gt;=INDEX(Assumptions!$C$6:$C$10,MATCH(I32,Assumptions!$B$6:$B$10,0))-2*INDEX(Assumptions!$C$15:$C$19,MATCH($A32,Assumptions!$B$15:$B$19,0))-$B32)*Assumptions!$C$24:$C$34)/SUM(Assumptions!$C$24:$C$34)</f>
        <v>0.83333333333333337</v>
      </c>
      <c r="K32" s="14">
        <v>5</v>
      </c>
      <c r="L32" s="15">
        <f>SUMPRODUCT((Assumptions!$B$24:$B$34&gt;=INDEX(Assumptions!$C$6:$C$10,MATCH(K32,Assumptions!$B$6:$B$10,0))-2*INDEX(Assumptions!$C$15:$C$19,MATCH($A32,Assumptions!$B$15:$B$19,0))-$B32)*Assumptions!$C$24:$C$34)/SUM(Assumptions!$C$24:$C$34)</f>
        <v>0.41666666666666669</v>
      </c>
    </row>
    <row r="33" spans="1:12" x14ac:dyDescent="0.25">
      <c r="A33" s="14">
        <v>5</v>
      </c>
      <c r="B33" s="14">
        <v>5</v>
      </c>
      <c r="C33" s="14">
        <v>1</v>
      </c>
      <c r="D33" s="15">
        <f>SUMPRODUCT((Assumptions!$B$24:$B$34&gt;=INDEX(Assumptions!$C$6:$C$10,MATCH(C33,Assumptions!$B$6:$B$10,0))-2*INDEX(Assumptions!$C$15:$C$19,MATCH($A33,Assumptions!$B$15:$B$19,0))-$B33)*Assumptions!$C$24:$C$34)/SUM(Assumptions!$C$24:$C$34)</f>
        <v>1</v>
      </c>
      <c r="E33" s="14">
        <v>2</v>
      </c>
      <c r="F33" s="15">
        <f>SUMPRODUCT((Assumptions!$B$24:$B$34&gt;=INDEX(Assumptions!$C$6:$C$10,MATCH(E33,Assumptions!$B$6:$B$10,0))-2*INDEX(Assumptions!$C$15:$C$19,MATCH($A33,Assumptions!$B$15:$B$19,0))-$B33)*Assumptions!$C$24:$C$34)/SUM(Assumptions!$C$24:$C$34)</f>
        <v>1</v>
      </c>
      <c r="G33" s="14">
        <v>3</v>
      </c>
      <c r="H33" s="15">
        <f>SUMPRODUCT((Assumptions!$B$24:$B$34&gt;=INDEX(Assumptions!$C$6:$C$10,MATCH(G33,Assumptions!$B$6:$B$10,0))-2*INDEX(Assumptions!$C$15:$C$19,MATCH($A33,Assumptions!$B$15:$B$19,0))-$B33)*Assumptions!$C$24:$C$34)/SUM(Assumptions!$C$24:$C$34)</f>
        <v>1</v>
      </c>
      <c r="I33" s="14">
        <v>4</v>
      </c>
      <c r="J33" s="15">
        <f>SUMPRODUCT((Assumptions!$B$24:$B$34&gt;=INDEX(Assumptions!$C$6:$C$10,MATCH(I33,Assumptions!$B$6:$B$10,0))-2*INDEX(Assumptions!$C$15:$C$19,MATCH($A33,Assumptions!$B$15:$B$19,0))-$B33)*Assumptions!$C$24:$C$34)/SUM(Assumptions!$C$24:$C$34)</f>
        <v>0.91666666666666663</v>
      </c>
      <c r="K33" s="14">
        <v>5</v>
      </c>
      <c r="L33" s="15">
        <f>SUMPRODUCT((Assumptions!$B$24:$B$34&gt;=INDEX(Assumptions!$C$6:$C$10,MATCH(K33,Assumptions!$B$6:$B$10,0))-2*INDEX(Assumptions!$C$15:$C$19,MATCH($A33,Assumptions!$B$15:$B$19,0))-$B33)*Assumptions!$C$24:$C$34)/SUM(Assumptions!$C$24:$C$34)</f>
        <v>0.58333333333333337</v>
      </c>
    </row>
    <row r="35" spans="1:12" x14ac:dyDescent="0.25">
      <c r="A35" s="2" t="s">
        <v>45</v>
      </c>
    </row>
    <row r="36" spans="1:12" x14ac:dyDescent="0.25">
      <c r="A36" s="2" t="s">
        <v>46</v>
      </c>
    </row>
  </sheetData>
  <conditionalFormatting sqref="D4:D33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F4:F33">
    <cfRule type="colorScale" priority="3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H4:H33">
    <cfRule type="colorScale" priority="4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J4:J33">
    <cfRule type="colorScale" priority="5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conditionalFormatting sqref="L4:L33">
    <cfRule type="colorScale" priority="6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Probabilities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Andrejs Klavins</cp:lastModifiedBy>
  <cp:revision>0</cp:revision>
  <dcterms:created xsi:type="dcterms:W3CDTF">2026-09-07T12:52:38Z</dcterms:created>
  <dcterms:modified xsi:type="dcterms:W3CDTF">2026-09-07T13:53:34Z</dcterms:modified>
  <dc:language>lv-LV</dc:language>
</cp:coreProperties>
</file>