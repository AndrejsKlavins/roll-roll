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Probabilit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<sst xmlns="http://schemas.openxmlformats.org/spreadsheetml/2006/main" count="48" uniqueCount="47">
  <si>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Roll Roll - skill check probability assumptions</t>
  </si>
  <si>
    <t xml:space="preserve">Yellow cells are inputs you can change; every probability on the 'Probabilities' tab recalculates from them.</t>
  </si>
  <si>
    <t xml:space="preserve">CR ranks and their targets</t>
  </si>
  <si>
    <t xml:space="preserve">CR rank</t>
  </si>
  <si>
    <t xml:space="preserve">Target to match</t>
  </si>
  <si>
    <t xml:space="preserve">Game difficulty</t>
  </si>
  <si>
    <t xml:space="preserve">Easy</t>
  </si>
  <si>
    <t xml:space="preserve">Challenging</t>
  </si>
  <si>
    <t xml:space="preserve">Hard</t>
  </si>
  <si>
    <t xml:space="preserve">Very hard</t>
  </si>
  <si>
    <t xml:space="preserve">(assumed - see note)</t>
  </si>
  <si>
    <t xml:space="preserve">Targets 4 / 8 / 12 / 16 are the four difficulties in scripts/dice.gd (DIFFICULTY_TARGETS). The game has no fifth difficulty; CR 5 = 20 continues the +4 step and is an assumption, not a game rule.</t>
  </si>
  <si>
    <t xml:space="preserve">Ability ranks and die faces</t>
  </si>
  <si>
    <t xml:space="preserve">Ability rank</t>
  </si>
  <si>
    <t xml:space="preserve">Modifier per die</t>
  </si>
  <si>
    <t xml:space="preserve">Name</t>
  </si>
  <si>
    <t xml:space="preserve">Die faces</t>
  </si>
  <si>
    <t xml:space="preserve">Very weak</t>
  </si>
  <si>
    <t xml:space="preserve">Weak</t>
  </si>
  <si>
    <t xml:space="preserve">Average</t>
  </si>
  <si>
    <t xml:space="preserve">Strong</t>
  </si>
  <si>
    <t xml:space="preserve">Very strong</t>
  </si>
  <si>
    <t xml:space="preserve">Rank 3 (Average) rolls 1-6; every step away shifts all six faces by one, so rank 1 rolls -1..4 and rank 5 rolls 3..8. A check rolls 2 dice.</t>
  </si>
  <si>
    <t xml:space="preserve">2-dice pip totals (before rank modifier and skill points)</t>
  </si>
  <si>
    <t xml:space="preserve">Pip total</t>
  </si>
  <si>
    <t xml:space="preserve">Ways (of 36)</t>
  </si>
  <si>
    <t xml:space="preserve">P(exactly)</t>
  </si>
  <si>
    <t xml:space="preserve">Total</t>
  </si>
  <si>
    <t xml:space="preserve">How a probability is worked out</t>
  </si>
  <si>
    <t xml:space="preserve">A check matches its CR when:  (pip total) + 2 x (rank modifier) + (skill points) &gt;= (CR target).</t>
  </si>
  <si>
    <t xml:space="preserve">So the pip total the dice must show is:  required = target - 2 x modifier - skill points, and the probability is the share of the 36 pip combinations at or above it (1 if required &lt;= 2, 0 if required &gt; 12).</t>
  </si>
  <si>
    <t xml:space="preserve">Skill points are the pool spent after the roll (scripts/dice.gd, Dice.boosted), so they are a flat bonus to the total; 0 points means no skill applied.</t>
  </si>
  <si>
    <t xml:space="preserve">Chance of matching a CR, by ability rank and skill points</t>
  </si>
  <si>
    <t xml:space="preserve">2 dice per check. Each cell is P(2 dice + 2 x rank modifier + skill points &gt;= CR target). Targets and die spreads live on the 'Assumptions' tab.</t>
  </si>
  <si>
    <t xml:space="preserve">Skill points</t>
  </si>
  <si>
    <t xml:space="preserve">CR rank 1</t>
  </si>
  <si>
    <t xml:space="preserve">Prob 1</t>
  </si>
  <si>
    <t xml:space="preserve">CR rank 2</t>
  </si>
  <si>
    <t xml:space="preserve">Prob 2</t>
  </si>
  <si>
    <t xml:space="preserve">CR rank 3</t>
  </si>
  <si>
    <t xml:space="preserve">Prob 3</t>
  </si>
  <si>
    <t xml:space="preserve">CR rank 4</t>
  </si>
  <si>
    <t xml:space="preserve">Prob 4</t>
  </si>
  <si>
    <t xml:space="preserve">CR rank 5</t>
  </si>
  <si>
    <t xml:space="preserve">Prob 5</t>
  </si>
  <si>
    <t xml:space="preserve">Blue cells are inputs (ability rank, skill points, CR rank); black cells are formulas. Change a CR target on the Assumptions tab and this whole table follows.</t>
  </si>
  <si>
    <t xml:space="preserve">Example read: ability rank 3 with 2 skill points matches CR 2 (target 8) 72.2% of the time.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</si>
</sst>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0%"/>
    <numFmt numFmtId="167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16"/>
    <col collapsed="false" customWidth="true" hidden="false" outlineLevel="0" max="4" min="4" style="0" width="20"/>
    <col collapsed="false" customWidth="true" hidden="false" outlineLevel="0" max="5" min="5" style="0" width="26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4" t="s">
        <v>4</v>
      </c>
      <c r="D5" s="4" t="s">
        <v>5</v>
      </c>
    </row>
    <row r="6" customFormat="false" ht="15" hidden="false" customHeight="false" outlineLevel="0" collapsed="false">
      <c r="B6" s="5" t="n">
        <v>1</v>
      </c>
      <c r="C6" s="5" t="n">
        <v>4</v>
      </c>
      <c r="D6" s="6" t="s">
        <v>6</v>
      </c>
    </row>
    <row r="7" customFormat="false" ht="15" hidden="false" customHeight="false" outlineLevel="0" collapsed="false">
      <c r="B7" s="5" t="n">
        <v>2</v>
      </c>
      <c r="C7" s="5" t="n">
        <v>8</v>
      </c>
      <c r="D7" s="6" t="s">
        <v>7</v>
      </c>
    </row>
    <row r="8" customFormat="false" ht="15" hidden="false" customHeight="false" outlineLevel="0" collapsed="false">
      <c r="B8" s="5" t="n">
        <v>3</v>
      </c>
      <c r="C8" s="5" t="n">
        <v>12</v>
      </c>
      <c r="D8" s="6" t="s">
        <v>8</v>
      </c>
    </row>
    <row r="9" customFormat="false" ht="15" hidden="false" customHeight="false" outlineLevel="0" collapsed="false">
      <c r="B9" s="5" t="n">
        <v>4</v>
      </c>
      <c r="C9" s="5" t="n">
        <v>16</v>
      </c>
      <c r="D9" s="6" t="s">
        <v>9</v>
      </c>
    </row>
    <row r="10" customFormat="false" ht="15" hidden="false" customHeight="false" outlineLevel="0" collapsed="false">
      <c r="B10" s="5" t="n">
        <v>5</v>
      </c>
      <c r="C10" s="5" t="n">
        <v>20</v>
      </c>
      <c r="D10" s="6" t="s">
        <v>10</v>
      </c>
    </row>
    <row r="11" customFormat="false" ht="15" hidden="false" customHeight="false" outlineLevel="0" collapsed="false">
      <c r="B11" s="2" t="s">
        <v>11</v>
      </c>
    </row>
    <row r="13" customFormat="false" ht="15" hidden="false" customHeight="false" outlineLevel="0" collapsed="false">
      <c r="B13" s="3" t="s">
        <v>12</v>
      </c>
    </row>
    <row r="14" customFormat="false" ht="15" hidden="false" customHeight="false" outlineLevel="0" collapsed="false">
      <c r="B14" s="4" t="s">
        <v>13</v>
      </c>
      <c r="C14" s="4" t="s">
        <v>14</v>
      </c>
      <c r="D14" s="4" t="s">
        <v>15</v>
      </c>
      <c r="E14" s="4" t="s">
        <v>16</v>
      </c>
    </row>
    <row r="15" customFormat="false" ht="15" hidden="false" customHeight="false" outlineLevel="0" collapsed="false">
      <c r="B15" s="5" t="n">
        <v>1</v>
      </c>
      <c r="C15" s="7" t="n">
        <f aca="false">B15-3</f>
        <v>-2</v>
      </c>
      <c r="D15" s="6" t="s">
        <v>17</v>
      </c>
      <c r="E15" s="6" t="str">
        <f aca="false">_xlfn.TEXTJOIN(", ",TRUE(),1+$C15,2+$C15,3+$C15,4+$C15,5+$C15,6+$C15)</f>
        <v>-1, 0, 1, 2, 3, 4</v>
      </c>
    </row>
    <row r="16" customFormat="false" ht="15" hidden="false" customHeight="false" outlineLevel="0" collapsed="false">
      <c r="B16" s="5" t="n">
        <v>2</v>
      </c>
      <c r="C16" s="7" t="n">
        <f aca="false">B16-3</f>
        <v>-1</v>
      </c>
      <c r="D16" s="6" t="s">
        <v>18</v>
      </c>
      <c r="E16" s="6" t="str">
        <f aca="false">_xlfn.TEXTJOIN(", ",TRUE(),1+$C16,2+$C16,3+$C16,4+$C16,5+$C16,6+$C16)</f>
        <v>0, 1, 2, 3, 4, 5</v>
      </c>
    </row>
    <row r="17" customFormat="false" ht="15" hidden="false" customHeight="false" outlineLevel="0" collapsed="false">
      <c r="B17" s="5" t="n">
        <v>3</v>
      </c>
      <c r="C17" s="7" t="n">
        <f aca="false">B17-3</f>
        <v>0</v>
      </c>
      <c r="D17" s="6" t="s">
        <v>19</v>
      </c>
      <c r="E17" s="6" t="str">
        <f aca="false">_xlfn.TEXTJOIN(", ",TRUE(),1+$C17,2+$C17,3+$C17,4+$C17,5+$C17,6+$C17)</f>
        <v>1, 2, 3, 4, 5, 6</v>
      </c>
    </row>
    <row r="18" customFormat="false" ht="15" hidden="false" customHeight="false" outlineLevel="0" collapsed="false">
      <c r="B18" s="5" t="n">
        <v>4</v>
      </c>
      <c r="C18" s="7" t="n">
        <f aca="false">B18-3</f>
        <v>1</v>
      </c>
      <c r="D18" s="6" t="s">
        <v>20</v>
      </c>
      <c r="E18" s="6" t="str">
        <f aca="false">_xlfn.TEXTJOIN(", ",TRUE(),1+$C18,2+$C18,3+$C18,4+$C18,5+$C18,6+$C18)</f>
        <v>2, 3, 4, 5, 6, 7</v>
      </c>
    </row>
    <row r="19" customFormat="false" ht="15" hidden="false" customHeight="false" outlineLevel="0" collapsed="false">
      <c r="B19" s="5" t="n">
        <v>5</v>
      </c>
      <c r="C19" s="7" t="n">
        <f aca="false">B19-3</f>
        <v>2</v>
      </c>
      <c r="D19" s="6" t="s">
        <v>21</v>
      </c>
      <c r="E19" s="6" t="str">
        <f aca="false">_xlfn.TEXTJOIN(", ",TRUE(),1+$C19,2+$C19,3+$C19,4+$C19,5+$C19,6+$C19)</f>
        <v>3, 4, 5, 6, 7, 8</v>
      </c>
    </row>
    <row r="20" customFormat="false" ht="15" hidden="false" customHeight="false" outlineLevel="0" collapsed="false">
      <c r="B20" s="2" t="s">
        <v>22</v>
      </c>
    </row>
    <row r="22" customFormat="false" ht="15" hidden="false" customHeight="false" outlineLevel="0" collapsed="false">
      <c r="B22" s="3" t="s">
        <v>23</v>
      </c>
    </row>
    <row r="23" customFormat="false" ht="15" hidden="false" customHeight="false" outlineLevel="0" collapsed="false">
      <c r="B23" s="4" t="s">
        <v>24</v>
      </c>
      <c r="C23" s="4" t="s">
        <v>25</v>
      </c>
      <c r="D23" s="4" t="s">
        <v>26</v>
      </c>
    </row>
    <row r="24" customFormat="false" ht="15" hidden="false" customHeight="false" outlineLevel="0" collapsed="false">
      <c r="B24" s="7" t="n">
        <v>2</v>
      </c>
      <c r="C24" s="7" t="n">
        <f aca="false">6-ABS(B24-7)</f>
        <v>1</v>
      </c>
      <c r="D24" s="8" t="n">
        <f aca="false">C24/SUM($C$24:$C$34)</f>
        <v>0.0277777777777778</v>
      </c>
    </row>
    <row r="25" customFormat="false" ht="15" hidden="false" customHeight="false" outlineLevel="0" collapsed="false">
      <c r="B25" s="7" t="n">
        <v>3</v>
      </c>
      <c r="C25" s="7" t="n">
        <f aca="false">6-ABS(B25-7)</f>
        <v>2</v>
      </c>
      <c r="D25" s="8" t="n">
        <f aca="false">C25/SUM($C$24:$C$34)</f>
        <v>0.0555555555555556</v>
      </c>
    </row>
    <row r="26" customFormat="false" ht="15" hidden="false" customHeight="false" outlineLevel="0" collapsed="false">
      <c r="B26" s="7" t="n">
        <v>4</v>
      </c>
      <c r="C26" s="7" t="n">
        <f aca="false">6-ABS(B26-7)</f>
        <v>3</v>
      </c>
      <c r="D26" s="8" t="n">
        <f aca="false">C26/SUM($C$24:$C$34)</f>
        <v>0.0833333333333333</v>
      </c>
    </row>
    <row r="27" customFormat="false" ht="15" hidden="false" customHeight="false" outlineLevel="0" collapsed="false">
      <c r="B27" s="7" t="n">
        <v>5</v>
      </c>
      <c r="C27" s="7" t="n">
        <f aca="false">6-ABS(B27-7)</f>
        <v>4</v>
      </c>
      <c r="D27" s="8" t="n">
        <f aca="false">C27/SUM($C$24:$C$34)</f>
        <v>0.111111111111111</v>
      </c>
    </row>
    <row r="28" customFormat="false" ht="15" hidden="false" customHeight="false" outlineLevel="0" collapsed="false">
      <c r="B28" s="7" t="n">
        <v>6</v>
      </c>
      <c r="C28" s="7" t="n">
        <f aca="false">6-ABS(B28-7)</f>
        <v>5</v>
      </c>
      <c r="D28" s="8" t="n">
        <f aca="false">C28/SUM($C$24:$C$34)</f>
        <v>0.138888888888889</v>
      </c>
    </row>
    <row r="29" customFormat="false" ht="15" hidden="false" customHeight="false" outlineLevel="0" collapsed="false">
      <c r="B29" s="7" t="n">
        <v>7</v>
      </c>
      <c r="C29" s="7" t="n">
        <f aca="false">6-ABS(B29-7)</f>
        <v>6</v>
      </c>
      <c r="D29" s="8" t="n">
        <f aca="false">C29/SUM($C$24:$C$34)</f>
        <v>0.166666666666667</v>
      </c>
    </row>
    <row r="30" customFormat="false" ht="15" hidden="false" customHeight="false" outlineLevel="0" collapsed="false">
      <c r="B30" s="7" t="n">
        <v>8</v>
      </c>
      <c r="C30" s="7" t="n">
        <f aca="false">6-ABS(B30-7)</f>
        <v>5</v>
      </c>
      <c r="D30" s="8" t="n">
        <f aca="false">C30/SUM($C$24:$C$34)</f>
        <v>0.138888888888889</v>
      </c>
    </row>
    <row r="31" customFormat="false" ht="15" hidden="false" customHeight="false" outlineLevel="0" collapsed="false">
      <c r="B31" s="7" t="n">
        <v>9</v>
      </c>
      <c r="C31" s="7" t="n">
        <f aca="false">6-ABS(B31-7)</f>
        <v>4</v>
      </c>
      <c r="D31" s="8" t="n">
        <f aca="false">C31/SUM($C$24:$C$34)</f>
        <v>0.111111111111111</v>
      </c>
    </row>
    <row r="32" customFormat="false" ht="15" hidden="false" customHeight="false" outlineLevel="0" collapsed="false">
      <c r="B32" s="7" t="n">
        <v>10</v>
      </c>
      <c r="C32" s="7" t="n">
        <f aca="false">6-ABS(B32-7)</f>
        <v>3</v>
      </c>
      <c r="D32" s="8" t="n">
        <f aca="false">C32/SUM($C$24:$C$34)</f>
        <v>0.0833333333333333</v>
      </c>
    </row>
    <row r="33" customFormat="false" ht="15" hidden="false" customHeight="false" outlineLevel="0" collapsed="false">
      <c r="B33" s="7" t="n">
        <v>11</v>
      </c>
      <c r="C33" s="7" t="n">
        <f aca="false">6-ABS(B33-7)</f>
        <v>2</v>
      </c>
      <c r="D33" s="8" t="n">
        <f aca="false">C33/SUM($C$24:$C$34)</f>
        <v>0.0555555555555556</v>
      </c>
    </row>
    <row r="34" customFormat="false" ht="15" hidden="false" customHeight="false" outlineLevel="0" collapsed="false">
      <c r="B34" s="7" t="n">
        <v>12</v>
      </c>
      <c r="C34" s="7" t="n">
        <f aca="false">6-ABS(B34-7)</f>
        <v>1</v>
      </c>
      <c r="D34" s="8" t="n">
        <f aca="false">C34/SUM($C$24:$C$34)</f>
        <v>0.0277777777777778</v>
      </c>
    </row>
    <row r="35" customFormat="false" ht="15" hidden="false" customHeight="false" outlineLevel="0" collapsed="false">
      <c r="B35" s="9" t="s">
        <v>27</v>
      </c>
      <c r="C35" s="10" t="n">
        <f aca="false">SUM(C24:C34)</f>
        <v>36</v>
      </c>
      <c r="D35" s="11" t="n">
        <f aca="false">SUM(D24:D34)</f>
        <v>1</v>
      </c>
    </row>
    <row r="37" customFormat="false" ht="15" hidden="false" customHeight="false" outlineLevel="0" collapsed="false">
      <c r="B37" s="3" t="s">
        <v>28</v>
      </c>
    </row>
    <row r="38" customFormat="false" ht="15" hidden="false" customHeight="false" outlineLevel="0" collapsed="false">
      <c r="B38" s="12" t="s">
        <v>29</v>
      </c>
    </row>
    <row r="39" customFormat="false" ht="15" hidden="false" customHeight="false" outlineLevel="0" collapsed="false">
      <c r="B39" s="12" t="s">
        <v>30</v>
      </c>
    </row>
    <row r="40" customFormat="false" ht="15" hidden="false" customHeight="false" outlineLevel="0" collapsed="false">
      <c r="B40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1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3" customFormat="false" ht="27.75" hidden="false" customHeight="true" outlineLevel="0" collapsed="false">
      <c r="A3" s="13" t="s">
        <v>13</v>
      </c>
      <c r="B3" s="13" t="s">
        <v>34</v>
      </c>
      <c r="C3" s="13" t="s">
        <v>35</v>
      </c>
      <c r="D3" s="13" t="s">
        <v>36</v>
      </c>
      <c r="E3" s="13" t="s">
        <v>37</v>
      </c>
      <c r="F3" s="13" t="s">
        <v>38</v>
      </c>
      <c r="G3" s="13" t="s">
        <v>39</v>
      </c>
      <c r="H3" s="13" t="s">
        <v>40</v>
      </c>
      <c r="I3" s="13" t="s">
        <v>41</v>
      </c>
      <c r="J3" s="13" t="s">
        <v>42</v>
      </c>
      <c r="K3" s="13" t="s">
        <v>43</v>
      </c>
      <c r="L3" s="13" t="s">
        <v>44</v>
      </c>
    </row>
    <row r="4" customFormat="false" ht="15" hidden="false" customHeight="false" outlineLevel="0" collapsed="false">
      <c r="A4" s="14" t="n">
        <v>1</v>
      </c>
      <c r="B4" s="14" t="n">
        <v>0</v>
      </c>
      <c r="C4" s="14" t="n">
        <v>1</v>
      </c>
      <c r="D4" s="15" t="n">
        <f aca="false">SUMPRODUCT((Assumptions!$B$24:$B$34&gt;=INDEX(Assumptions!$C$6:$C$10,MATCH(C4,Assumptions!$B$6:$B$10,0))-2*INDEX(Assumptions!$C$15:$C$19,MATCH($A4,Assumptions!$B$15:$B$19,0))-$B4)*Assumptions!$C$24:$C$34)/SUM(Assumptions!$C$24:$C$34)</f>
        <v>0.416666666666667</v>
      </c>
      <c r="E4" s="14" t="n">
        <v>2</v>
      </c>
      <c r="F4" s="15" t="n">
        <f aca="false">SUMPRODUCT((Assumptions!$B$24:$B$34&gt;=INDEX(Assumptions!$C$6:$C$10,MATCH(E4,Assumptions!$B$6:$B$10,0))-2*INDEX(Assumptions!$C$15:$C$19,MATCH($A4,Assumptions!$B$15:$B$19,0))-$B4)*Assumptions!$C$24:$C$34)/SUM(Assumptions!$C$24:$C$34)</f>
        <v>0.0277777777777778</v>
      </c>
      <c r="G4" s="14" t="n">
        <v>3</v>
      </c>
      <c r="H4" s="15" t="n">
        <f aca="false">SUMPRODUCT((Assumptions!$B$24:$B$34&gt;=INDEX(Assumptions!$C$6:$C$10,MATCH(G4,Assumptions!$B$6:$B$10,0))-2*INDEX(Assumptions!$C$15:$C$19,MATCH($A4,Assumptions!$B$15:$B$19,0))-$B4)*Assumptions!$C$24:$C$34)/SUM(Assumptions!$C$24:$C$34)</f>
        <v>0</v>
      </c>
      <c r="I4" s="14" t="n">
        <v>4</v>
      </c>
      <c r="J4" s="15" t="n">
        <f aca="false">SUMPRODUCT((Assumptions!$B$24:$B$34&gt;=INDEX(Assumptions!$C$6:$C$10,MATCH(I4,Assumptions!$B$6:$B$10,0))-2*INDEX(Assumptions!$C$15:$C$19,MATCH($A4,Assumptions!$B$15:$B$19,0))-$B4)*Assumptions!$C$24:$C$34)/SUM(Assumptions!$C$24:$C$34)</f>
        <v>0</v>
      </c>
      <c r="K4" s="14" t="n">
        <v>5</v>
      </c>
      <c r="L4" s="15" t="n">
        <f aca="false">SUMPRODUCT((Assumptions!$B$24:$B$34&gt;=INDEX(Assumptions!$C$6:$C$10,MATCH(K4,Assumptions!$B$6:$B$10,0))-2*INDEX(Assumptions!$C$15:$C$19,MATCH($A4,Assumptions!$B$15:$B$19,0))-$B4)*Assumptions!$C$24:$C$34)/SUM(Assumptions!$C$24:$C$34)</f>
        <v>0</v>
      </c>
    </row>
    <row r="5" customFormat="false" ht="15" hidden="false" customHeight="false" outlineLevel="0" collapsed="false">
      <c r="A5" s="14" t="n">
        <v>1</v>
      </c>
      <c r="B5" s="14" t="n">
        <v>1</v>
      </c>
      <c r="C5" s="14" t="n">
        <v>1</v>
      </c>
      <c r="D5" s="15" t="n">
        <f aca="false">SUMPRODUCT((Assumptions!$B$24:$B$34&gt;=INDEX(Assumptions!$C$6:$C$10,MATCH(C5,Assumptions!$B$6:$B$10,0))-2*INDEX(Assumptions!$C$15:$C$19,MATCH($A5,Assumptions!$B$15:$B$19,0))-$B5)*Assumptions!$C$24:$C$34)/SUM(Assumptions!$C$24:$C$34)</f>
        <v>0.583333333333333</v>
      </c>
      <c r="E5" s="14" t="n">
        <v>2</v>
      </c>
      <c r="F5" s="15" t="n">
        <f aca="false">SUMPRODUCT((Assumptions!$B$24:$B$34&gt;=INDEX(Assumptions!$C$6:$C$10,MATCH(E5,Assumptions!$B$6:$B$10,0))-2*INDEX(Assumptions!$C$15:$C$19,MATCH($A5,Assumptions!$B$15:$B$19,0))-$B5)*Assumptions!$C$24:$C$34)/SUM(Assumptions!$C$24:$C$34)</f>
        <v>0.0833333333333333</v>
      </c>
      <c r="G5" s="14" t="n">
        <v>3</v>
      </c>
      <c r="H5" s="15" t="n">
        <f aca="false">SUMPRODUCT((Assumptions!$B$24:$B$34&gt;=INDEX(Assumptions!$C$6:$C$10,MATCH(G5,Assumptions!$B$6:$B$10,0))-2*INDEX(Assumptions!$C$15:$C$19,MATCH($A5,Assumptions!$B$15:$B$19,0))-$B5)*Assumptions!$C$24:$C$34)/SUM(Assumptions!$C$24:$C$34)</f>
        <v>0</v>
      </c>
      <c r="I5" s="14" t="n">
        <v>4</v>
      </c>
      <c r="J5" s="15" t="n">
        <f aca="false">SUMPRODUCT((Assumptions!$B$24:$B$34&gt;=INDEX(Assumptions!$C$6:$C$10,MATCH(I5,Assumptions!$B$6:$B$10,0))-2*INDEX(Assumptions!$C$15:$C$19,MATCH($A5,Assumptions!$B$15:$B$19,0))-$B5)*Assumptions!$C$24:$C$34)/SUM(Assumptions!$C$24:$C$34)</f>
        <v>0</v>
      </c>
      <c r="K5" s="14" t="n">
        <v>5</v>
      </c>
      <c r="L5" s="15" t="n">
        <f aca="false">SUMPRODUCT((Assumptions!$B$24:$B$34&gt;=INDEX(Assumptions!$C$6:$C$10,MATCH(K5,Assumptions!$B$6:$B$10,0))-2*INDEX(Assumptions!$C$15:$C$19,MATCH($A5,Assumptions!$B$15:$B$19,0))-$B5)*Assumptions!$C$24:$C$34)/SUM(Assumptions!$C$24:$C$34)</f>
        <v>0</v>
      </c>
    </row>
    <row r="6" customFormat="false" ht="15" hidden="false" customHeight="false" outlineLevel="0" collapsed="false">
      <c r="A6" s="14" t="n">
        <v>1</v>
      </c>
      <c r="B6" s="14" t="n">
        <v>2</v>
      </c>
      <c r="C6" s="14" t="n">
        <v>1</v>
      </c>
      <c r="D6" s="15" t="n">
        <f aca="false">SUMPRODUCT((Assumptions!$B$24:$B$34&gt;=INDEX(Assumptions!$C$6:$C$10,MATCH(C6,Assumptions!$B$6:$B$10,0))-2*INDEX(Assumptions!$C$15:$C$19,MATCH($A6,Assumptions!$B$15:$B$19,0))-$B6)*Assumptions!$C$24:$C$34)/SUM(Assumptions!$C$24:$C$34)</f>
        <v>0.722222222222222</v>
      </c>
      <c r="E6" s="14" t="n">
        <v>2</v>
      </c>
      <c r="F6" s="15" t="n">
        <f aca="false">SUMPRODUCT((Assumptions!$B$24:$B$34&gt;=INDEX(Assumptions!$C$6:$C$10,MATCH(E6,Assumptions!$B$6:$B$10,0))-2*INDEX(Assumptions!$C$15:$C$19,MATCH($A6,Assumptions!$B$15:$B$19,0))-$B6)*Assumptions!$C$24:$C$34)/SUM(Assumptions!$C$24:$C$34)</f>
        <v>0.166666666666667</v>
      </c>
      <c r="G6" s="14" t="n">
        <v>3</v>
      </c>
      <c r="H6" s="15" t="n">
        <f aca="false">SUMPRODUCT((Assumptions!$B$24:$B$34&gt;=INDEX(Assumptions!$C$6:$C$10,MATCH(G6,Assumptions!$B$6:$B$10,0))-2*INDEX(Assumptions!$C$15:$C$19,MATCH($A6,Assumptions!$B$15:$B$19,0))-$B6)*Assumptions!$C$24:$C$34)/SUM(Assumptions!$C$24:$C$34)</f>
        <v>0</v>
      </c>
      <c r="I6" s="14" t="n">
        <v>4</v>
      </c>
      <c r="J6" s="15" t="n">
        <f aca="false">SUMPRODUCT((Assumptions!$B$24:$B$34&gt;=INDEX(Assumptions!$C$6:$C$10,MATCH(I6,Assumptions!$B$6:$B$10,0))-2*INDEX(Assumptions!$C$15:$C$19,MATCH($A6,Assumptions!$B$15:$B$19,0))-$B6)*Assumptions!$C$24:$C$34)/SUM(Assumptions!$C$24:$C$34)</f>
        <v>0</v>
      </c>
      <c r="K6" s="14" t="n">
        <v>5</v>
      </c>
      <c r="L6" s="15" t="n">
        <f aca="false">SUMPRODUCT((Assumptions!$B$24:$B$34&gt;=INDEX(Assumptions!$C$6:$C$10,MATCH(K6,Assumptions!$B$6:$B$10,0))-2*INDEX(Assumptions!$C$15:$C$19,MATCH($A6,Assumptions!$B$15:$B$19,0))-$B6)*Assumptions!$C$24:$C$34)/SUM(Assumptions!$C$24:$C$34)</f>
        <v>0</v>
      </c>
    </row>
    <row r="7" customFormat="false" ht="15" hidden="false" customHeight="false" outlineLevel="0" collapsed="false">
      <c r="A7" s="14" t="n">
        <v>1</v>
      </c>
      <c r="B7" s="14" t="n">
        <v>3</v>
      </c>
      <c r="C7" s="14" t="n">
        <v>1</v>
      </c>
      <c r="D7" s="15" t="n">
        <f aca="false">SUMPRODUCT((Assumptions!$B$24:$B$34&gt;=INDEX(Assumptions!$C$6:$C$10,MATCH(C7,Assumptions!$B$6:$B$10,0))-2*INDEX(Assumptions!$C$15:$C$19,MATCH($A7,Assumptions!$B$15:$B$19,0))-$B7)*Assumptions!$C$24:$C$34)/SUM(Assumptions!$C$24:$C$34)</f>
        <v>0.833333333333333</v>
      </c>
      <c r="E7" s="14" t="n">
        <v>2</v>
      </c>
      <c r="F7" s="15" t="n">
        <f aca="false">SUMPRODUCT((Assumptions!$B$24:$B$34&gt;=INDEX(Assumptions!$C$6:$C$10,MATCH(E7,Assumptions!$B$6:$B$10,0))-2*INDEX(Assumptions!$C$15:$C$19,MATCH($A7,Assumptions!$B$15:$B$19,0))-$B7)*Assumptions!$C$24:$C$34)/SUM(Assumptions!$C$24:$C$34)</f>
        <v>0.277777777777778</v>
      </c>
      <c r="G7" s="14" t="n">
        <v>3</v>
      </c>
      <c r="H7" s="15" t="n">
        <f aca="false">SUMPRODUCT((Assumptions!$B$24:$B$34&gt;=INDEX(Assumptions!$C$6:$C$10,MATCH(G7,Assumptions!$B$6:$B$10,0))-2*INDEX(Assumptions!$C$15:$C$19,MATCH($A7,Assumptions!$B$15:$B$19,0))-$B7)*Assumptions!$C$24:$C$34)/SUM(Assumptions!$C$24:$C$34)</f>
        <v>0</v>
      </c>
      <c r="I7" s="14" t="n">
        <v>4</v>
      </c>
      <c r="J7" s="15" t="n">
        <f aca="false">SUMPRODUCT((Assumptions!$B$24:$B$34&gt;=INDEX(Assumptions!$C$6:$C$10,MATCH(I7,Assumptions!$B$6:$B$10,0))-2*INDEX(Assumptions!$C$15:$C$19,MATCH($A7,Assumptions!$B$15:$B$19,0))-$B7)*Assumptions!$C$24:$C$34)/SUM(Assumptions!$C$24:$C$34)</f>
        <v>0</v>
      </c>
      <c r="K7" s="14" t="n">
        <v>5</v>
      </c>
      <c r="L7" s="15" t="n">
        <f aca="false">SUMPRODUCT((Assumptions!$B$24:$B$34&gt;=INDEX(Assumptions!$C$6:$C$10,MATCH(K7,Assumptions!$B$6:$B$10,0))-2*INDEX(Assumptions!$C$15:$C$19,MATCH($A7,Assumptions!$B$15:$B$19,0))-$B7)*Assumptions!$C$24:$C$34)/SUM(Assumptions!$C$24:$C$34)</f>
        <v>0</v>
      </c>
    </row>
    <row r="8" customFormat="false" ht="15" hidden="false" customHeight="false" outlineLevel="0" collapsed="false">
      <c r="A8" s="14" t="n">
        <v>1</v>
      </c>
      <c r="B8" s="14" t="n">
        <v>4</v>
      </c>
      <c r="C8" s="14" t="n">
        <v>1</v>
      </c>
      <c r="D8" s="15" t="n">
        <f aca="false">SUMPRODUCT((Assumptions!$B$24:$B$34&gt;=INDEX(Assumptions!$C$6:$C$10,MATCH(C8,Assumptions!$B$6:$B$10,0))-2*INDEX(Assumptions!$C$15:$C$19,MATCH($A8,Assumptions!$B$15:$B$19,0))-$B8)*Assumptions!$C$24:$C$34)/SUM(Assumptions!$C$24:$C$34)</f>
        <v>0.916666666666667</v>
      </c>
      <c r="E8" s="14" t="n">
        <v>2</v>
      </c>
      <c r="F8" s="15" t="n">
        <f aca="false">SUMPRODUCT((Assumptions!$B$24:$B$34&gt;=INDEX(Assumptions!$C$6:$C$10,MATCH(E8,Assumptions!$B$6:$B$10,0))-2*INDEX(Assumptions!$C$15:$C$19,MATCH($A8,Assumptions!$B$15:$B$19,0))-$B8)*Assumptions!$C$24:$C$34)/SUM(Assumptions!$C$24:$C$34)</f>
        <v>0.416666666666667</v>
      </c>
      <c r="G8" s="14" t="n">
        <v>3</v>
      </c>
      <c r="H8" s="15" t="n">
        <f aca="false">SUMPRODUCT((Assumptions!$B$24:$B$34&gt;=INDEX(Assumptions!$C$6:$C$10,MATCH(G8,Assumptions!$B$6:$B$10,0))-2*INDEX(Assumptions!$C$15:$C$19,MATCH($A8,Assumptions!$B$15:$B$19,0))-$B8)*Assumptions!$C$24:$C$34)/SUM(Assumptions!$C$24:$C$34)</f>
        <v>0.0277777777777778</v>
      </c>
      <c r="I8" s="14" t="n">
        <v>4</v>
      </c>
      <c r="J8" s="15" t="n">
        <f aca="false">SUMPRODUCT((Assumptions!$B$24:$B$34&gt;=INDEX(Assumptions!$C$6:$C$10,MATCH(I8,Assumptions!$B$6:$B$10,0))-2*INDEX(Assumptions!$C$15:$C$19,MATCH($A8,Assumptions!$B$15:$B$19,0))-$B8)*Assumptions!$C$24:$C$34)/SUM(Assumptions!$C$24:$C$34)</f>
        <v>0</v>
      </c>
      <c r="K8" s="14" t="n">
        <v>5</v>
      </c>
      <c r="L8" s="15" t="n">
        <f aca="false">SUMPRODUCT((Assumptions!$B$24:$B$34&gt;=INDEX(Assumptions!$C$6:$C$10,MATCH(K8,Assumptions!$B$6:$B$10,0))-2*INDEX(Assumptions!$C$15:$C$19,MATCH($A8,Assumptions!$B$15:$B$19,0))-$B8)*Assumptions!$C$24:$C$34)/SUM(Assumptions!$C$24:$C$34)</f>
        <v>0</v>
      </c>
    </row>
    <row r="9" customFormat="false" ht="15" hidden="false" customHeight="false" outlineLevel="0" collapsed="false">
      <c r="A9" s="14" t="n">
        <v>1</v>
      </c>
      <c r="B9" s="14" t="n">
        <v>5</v>
      </c>
      <c r="C9" s="14" t="n">
        <v>1</v>
      </c>
      <c r="D9" s="15" t="n">
        <f aca="false">SUMPRODUCT((Assumptions!$B$24:$B$34&gt;=INDEX(Assumptions!$C$6:$C$10,MATCH(C9,Assumptions!$B$6:$B$10,0))-2*INDEX(Assumptions!$C$15:$C$19,MATCH($A9,Assumptions!$B$15:$B$19,0))-$B9)*Assumptions!$C$24:$C$34)/SUM(Assumptions!$C$24:$C$34)</f>
        <v>0.972222222222222</v>
      </c>
      <c r="E9" s="14" t="n">
        <v>2</v>
      </c>
      <c r="F9" s="15" t="n">
        <f aca="false">SUMPRODUCT((Assumptions!$B$24:$B$34&gt;=INDEX(Assumptions!$C$6:$C$10,MATCH(E9,Assumptions!$B$6:$B$10,0))-2*INDEX(Assumptions!$C$15:$C$19,MATCH($A9,Assumptions!$B$15:$B$19,0))-$B9)*Assumptions!$C$24:$C$34)/SUM(Assumptions!$C$24:$C$34)</f>
        <v>0.583333333333333</v>
      </c>
      <c r="G9" s="14" t="n">
        <v>3</v>
      </c>
      <c r="H9" s="15" t="n">
        <f aca="false">SUMPRODUCT((Assumptions!$B$24:$B$34&gt;=INDEX(Assumptions!$C$6:$C$10,MATCH(G9,Assumptions!$B$6:$B$10,0))-2*INDEX(Assumptions!$C$15:$C$19,MATCH($A9,Assumptions!$B$15:$B$19,0))-$B9)*Assumptions!$C$24:$C$34)/SUM(Assumptions!$C$24:$C$34)</f>
        <v>0.0833333333333333</v>
      </c>
      <c r="I9" s="14" t="n">
        <v>4</v>
      </c>
      <c r="J9" s="15" t="n">
        <f aca="false">SUMPRODUCT((Assumptions!$B$24:$B$34&gt;=INDEX(Assumptions!$C$6:$C$10,MATCH(I9,Assumptions!$B$6:$B$10,0))-2*INDEX(Assumptions!$C$15:$C$19,MATCH($A9,Assumptions!$B$15:$B$19,0))-$B9)*Assumptions!$C$24:$C$34)/SUM(Assumptions!$C$24:$C$34)</f>
        <v>0</v>
      </c>
      <c r="K9" s="14" t="n">
        <v>5</v>
      </c>
      <c r="L9" s="15" t="n">
        <f aca="false">SUMPRODUCT((Assumptions!$B$24:$B$34&gt;=INDEX(Assumptions!$C$6:$C$10,MATCH(K9,Assumptions!$B$6:$B$10,0))-2*INDEX(Assumptions!$C$15:$C$19,MATCH($A9,Assumptions!$B$15:$B$19,0))-$B9)*Assumptions!$C$24:$C$34)/SUM(Assumptions!$C$24:$C$34)</f>
        <v>0</v>
      </c>
    </row>
    <row r="10" customFormat="false" ht="15" hidden="false" customHeight="false" outlineLevel="0" collapsed="false">
      <c r="A10" s="16" t="n">
        <v>2</v>
      </c>
      <c r="B10" s="16" t="n">
        <v>0</v>
      </c>
      <c r="C10" s="16" t="n">
        <v>1</v>
      </c>
      <c r="D10" s="17" t="n">
        <f aca="false">SUMPRODUCT((Assumptions!$B$24:$B$34&gt;=INDEX(Assumptions!$C$6:$C$10,MATCH(C10,Assumptions!$B$6:$B$10,0))-2*INDEX(Assumptions!$C$15:$C$19,MATCH($A10,Assumptions!$B$15:$B$19,0))-$B10)*Assumptions!$C$24:$C$34)/SUM(Assumptions!$C$24:$C$34)</f>
        <v>0.722222222222222</v>
      </c>
      <c r="E10" s="16" t="n">
        <v>2</v>
      </c>
      <c r="F10" s="17" t="n">
        <f aca="false">SUMPRODUCT((Assumptions!$B$24:$B$34&gt;=INDEX(Assumptions!$C$6:$C$10,MATCH(E10,Assumptions!$B$6:$B$10,0))-2*INDEX(Assumptions!$C$15:$C$19,MATCH($A10,Assumptions!$B$15:$B$19,0))-$B10)*Assumptions!$C$24:$C$34)/SUM(Assumptions!$C$24:$C$34)</f>
        <v>0.166666666666667</v>
      </c>
      <c r="G10" s="16" t="n">
        <v>3</v>
      </c>
      <c r="H10" s="17" t="n">
        <f aca="false">SUMPRODUCT((Assumptions!$B$24:$B$34&gt;=INDEX(Assumptions!$C$6:$C$10,MATCH(G10,Assumptions!$B$6:$B$10,0))-2*INDEX(Assumptions!$C$15:$C$19,MATCH($A10,Assumptions!$B$15:$B$19,0))-$B10)*Assumptions!$C$24:$C$34)/SUM(Assumptions!$C$24:$C$34)</f>
        <v>0</v>
      </c>
      <c r="I10" s="16" t="n">
        <v>4</v>
      </c>
      <c r="J10" s="17" t="n">
        <f aca="false">SUMPRODUCT((Assumptions!$B$24:$B$34&gt;=INDEX(Assumptions!$C$6:$C$10,MATCH(I10,Assumptions!$B$6:$B$10,0))-2*INDEX(Assumptions!$C$15:$C$19,MATCH($A10,Assumptions!$B$15:$B$19,0))-$B10)*Assumptions!$C$24:$C$34)/SUM(Assumptions!$C$24:$C$34)</f>
        <v>0</v>
      </c>
      <c r="K10" s="16" t="n">
        <v>5</v>
      </c>
      <c r="L10" s="17" t="n">
        <f aca="false">SUMPRODUCT((Assumptions!$B$24:$B$34&gt;=INDEX(Assumptions!$C$6:$C$10,MATCH(K10,Assumptions!$B$6:$B$10,0))-2*INDEX(Assumptions!$C$15:$C$19,MATCH($A10,Assumptions!$B$15:$B$19,0))-$B10)*Assumptions!$C$24:$C$34)/SUM(Assumptions!$C$24:$C$34)</f>
        <v>0</v>
      </c>
    </row>
    <row r="11" customFormat="false" ht="15" hidden="false" customHeight="false" outlineLevel="0" collapsed="false">
      <c r="A11" s="16" t="n">
        <v>2</v>
      </c>
      <c r="B11" s="16" t="n">
        <v>1</v>
      </c>
      <c r="C11" s="16" t="n">
        <v>1</v>
      </c>
      <c r="D11" s="17" t="n">
        <f aca="false">SUMPRODUCT((Assumptions!$B$24:$B$34&gt;=INDEX(Assumptions!$C$6:$C$10,MATCH(C11,Assumptions!$B$6:$B$10,0))-2*INDEX(Assumptions!$C$15:$C$19,MATCH($A11,Assumptions!$B$15:$B$19,0))-$B11)*Assumptions!$C$24:$C$34)/SUM(Assumptions!$C$24:$C$34)</f>
        <v>0.833333333333333</v>
      </c>
      <c r="E11" s="16" t="n">
        <v>2</v>
      </c>
      <c r="F11" s="17" t="n">
        <f aca="false">SUMPRODUCT((Assumptions!$B$24:$B$34&gt;=INDEX(Assumptions!$C$6:$C$10,MATCH(E11,Assumptions!$B$6:$B$10,0))-2*INDEX(Assumptions!$C$15:$C$19,MATCH($A11,Assumptions!$B$15:$B$19,0))-$B11)*Assumptions!$C$24:$C$34)/SUM(Assumptions!$C$24:$C$34)</f>
        <v>0.277777777777778</v>
      </c>
      <c r="G11" s="16" t="n">
        <v>3</v>
      </c>
      <c r="H11" s="17" t="n">
        <f aca="false">SUMPRODUCT((Assumptions!$B$24:$B$34&gt;=INDEX(Assumptions!$C$6:$C$10,MATCH(G11,Assumptions!$B$6:$B$10,0))-2*INDEX(Assumptions!$C$15:$C$19,MATCH($A11,Assumptions!$B$15:$B$19,0))-$B11)*Assumptions!$C$24:$C$34)/SUM(Assumptions!$C$24:$C$34)</f>
        <v>0</v>
      </c>
      <c r="I11" s="16" t="n">
        <v>4</v>
      </c>
      <c r="J11" s="17" t="n">
        <f aca="false">SUMPRODUCT((Assumptions!$B$24:$B$34&gt;=INDEX(Assumptions!$C$6:$C$10,MATCH(I11,Assumptions!$B$6:$B$10,0))-2*INDEX(Assumptions!$C$15:$C$19,MATCH($A11,Assumptions!$B$15:$B$19,0))-$B11)*Assumptions!$C$24:$C$34)/SUM(Assumptions!$C$24:$C$34)</f>
        <v>0</v>
      </c>
      <c r="K11" s="16" t="n">
        <v>5</v>
      </c>
      <c r="L11" s="17" t="n">
        <f aca="false">SUMPRODUCT((Assumptions!$B$24:$B$34&gt;=INDEX(Assumptions!$C$6:$C$10,MATCH(K11,Assumptions!$B$6:$B$10,0))-2*INDEX(Assumptions!$C$15:$C$19,MATCH($A11,Assumptions!$B$15:$B$19,0))-$B11)*Assumptions!$C$24:$C$34)/SUM(Assumptions!$C$24:$C$34)</f>
        <v>0</v>
      </c>
    </row>
    <row r="12" customFormat="false" ht="15" hidden="false" customHeight="false" outlineLevel="0" collapsed="false">
      <c r="A12" s="16" t="n">
        <v>2</v>
      </c>
      <c r="B12" s="16" t="n">
        <v>2</v>
      </c>
      <c r="C12" s="16" t="n">
        <v>1</v>
      </c>
      <c r="D12" s="17" t="n">
        <f aca="false">SUMPRODUCT((Assumptions!$B$24:$B$34&gt;=INDEX(Assumptions!$C$6:$C$10,MATCH(C12,Assumptions!$B$6:$B$10,0))-2*INDEX(Assumptions!$C$15:$C$19,MATCH($A12,Assumptions!$B$15:$B$19,0))-$B12)*Assumptions!$C$24:$C$34)/SUM(Assumptions!$C$24:$C$34)</f>
        <v>0.916666666666667</v>
      </c>
      <c r="E12" s="16" t="n">
        <v>2</v>
      </c>
      <c r="F12" s="17" t="n">
        <f aca="false">SUMPRODUCT((Assumptions!$B$24:$B$34&gt;=INDEX(Assumptions!$C$6:$C$10,MATCH(E12,Assumptions!$B$6:$B$10,0))-2*INDEX(Assumptions!$C$15:$C$19,MATCH($A12,Assumptions!$B$15:$B$19,0))-$B12)*Assumptions!$C$24:$C$34)/SUM(Assumptions!$C$24:$C$34)</f>
        <v>0.416666666666667</v>
      </c>
      <c r="G12" s="16" t="n">
        <v>3</v>
      </c>
      <c r="H12" s="17" t="n">
        <f aca="false">SUMPRODUCT((Assumptions!$B$24:$B$34&gt;=INDEX(Assumptions!$C$6:$C$10,MATCH(G12,Assumptions!$B$6:$B$10,0))-2*INDEX(Assumptions!$C$15:$C$19,MATCH($A12,Assumptions!$B$15:$B$19,0))-$B12)*Assumptions!$C$24:$C$34)/SUM(Assumptions!$C$24:$C$34)</f>
        <v>0.0277777777777778</v>
      </c>
      <c r="I12" s="16" t="n">
        <v>4</v>
      </c>
      <c r="J12" s="17" t="n">
        <f aca="false">SUMPRODUCT((Assumptions!$B$24:$B$34&gt;=INDEX(Assumptions!$C$6:$C$10,MATCH(I12,Assumptions!$B$6:$B$10,0))-2*INDEX(Assumptions!$C$15:$C$19,MATCH($A12,Assumptions!$B$15:$B$19,0))-$B12)*Assumptions!$C$24:$C$34)/SUM(Assumptions!$C$24:$C$34)</f>
        <v>0</v>
      </c>
      <c r="K12" s="16" t="n">
        <v>5</v>
      </c>
      <c r="L12" s="17" t="n">
        <f aca="false">SUMPRODUCT((Assumptions!$B$24:$B$34&gt;=INDEX(Assumptions!$C$6:$C$10,MATCH(K12,Assumptions!$B$6:$B$10,0))-2*INDEX(Assumptions!$C$15:$C$19,MATCH($A12,Assumptions!$B$15:$B$19,0))-$B12)*Assumptions!$C$24:$C$34)/SUM(Assumptions!$C$24:$C$34)</f>
        <v>0</v>
      </c>
    </row>
    <row r="13" customFormat="false" ht="15" hidden="false" customHeight="false" outlineLevel="0" collapsed="false">
      <c r="A13" s="16" t="n">
        <v>2</v>
      </c>
      <c r="B13" s="16" t="n">
        <v>3</v>
      </c>
      <c r="C13" s="16" t="n">
        <v>1</v>
      </c>
      <c r="D13" s="17" t="n">
        <f aca="false">SUMPRODUCT((Assumptions!$B$24:$B$34&gt;=INDEX(Assumptions!$C$6:$C$10,MATCH(C13,Assumptions!$B$6:$B$10,0))-2*INDEX(Assumptions!$C$15:$C$19,MATCH($A13,Assumptions!$B$15:$B$19,0))-$B13)*Assumptions!$C$24:$C$34)/SUM(Assumptions!$C$24:$C$34)</f>
        <v>0.972222222222222</v>
      </c>
      <c r="E13" s="16" t="n">
        <v>2</v>
      </c>
      <c r="F13" s="17" t="n">
        <f aca="false">SUMPRODUCT((Assumptions!$B$24:$B$34&gt;=INDEX(Assumptions!$C$6:$C$10,MATCH(E13,Assumptions!$B$6:$B$10,0))-2*INDEX(Assumptions!$C$15:$C$19,MATCH($A13,Assumptions!$B$15:$B$19,0))-$B13)*Assumptions!$C$24:$C$34)/SUM(Assumptions!$C$24:$C$34)</f>
        <v>0.583333333333333</v>
      </c>
      <c r="G13" s="16" t="n">
        <v>3</v>
      </c>
      <c r="H13" s="17" t="n">
        <f aca="false">SUMPRODUCT((Assumptions!$B$24:$B$34&gt;=INDEX(Assumptions!$C$6:$C$10,MATCH(G13,Assumptions!$B$6:$B$10,0))-2*INDEX(Assumptions!$C$15:$C$19,MATCH($A13,Assumptions!$B$15:$B$19,0))-$B13)*Assumptions!$C$24:$C$34)/SUM(Assumptions!$C$24:$C$34)</f>
        <v>0.0833333333333333</v>
      </c>
      <c r="I13" s="16" t="n">
        <v>4</v>
      </c>
      <c r="J13" s="17" t="n">
        <f aca="false">SUMPRODUCT((Assumptions!$B$24:$B$34&gt;=INDEX(Assumptions!$C$6:$C$10,MATCH(I13,Assumptions!$B$6:$B$10,0))-2*INDEX(Assumptions!$C$15:$C$19,MATCH($A13,Assumptions!$B$15:$B$19,0))-$B13)*Assumptions!$C$24:$C$34)/SUM(Assumptions!$C$24:$C$34)</f>
        <v>0</v>
      </c>
      <c r="K13" s="16" t="n">
        <v>5</v>
      </c>
      <c r="L13" s="17" t="n">
        <f aca="false">SUMPRODUCT((Assumptions!$B$24:$B$34&gt;=INDEX(Assumptions!$C$6:$C$10,MATCH(K13,Assumptions!$B$6:$B$10,0))-2*INDEX(Assumptions!$C$15:$C$19,MATCH($A13,Assumptions!$B$15:$B$19,0))-$B13)*Assumptions!$C$24:$C$34)/SUM(Assumptions!$C$24:$C$34)</f>
        <v>0</v>
      </c>
    </row>
    <row r="14" customFormat="false" ht="15" hidden="false" customHeight="false" outlineLevel="0" collapsed="false">
      <c r="A14" s="16" t="n">
        <v>2</v>
      </c>
      <c r="B14" s="16" t="n">
        <v>4</v>
      </c>
      <c r="C14" s="16" t="n">
        <v>1</v>
      </c>
      <c r="D14" s="17" t="n">
        <f aca="false">SUMPRODUCT((Assumptions!$B$24:$B$34&gt;=INDEX(Assumptions!$C$6:$C$10,MATCH(C14,Assumptions!$B$6:$B$10,0))-2*INDEX(Assumptions!$C$15:$C$19,MATCH($A14,Assumptions!$B$15:$B$19,0))-$B14)*Assumptions!$C$24:$C$34)/SUM(Assumptions!$C$24:$C$34)</f>
        <v>1</v>
      </c>
      <c r="E14" s="16" t="n">
        <v>2</v>
      </c>
      <c r="F14" s="17" t="n">
        <f aca="false">SUMPRODUCT((Assumptions!$B$24:$B$34&gt;=INDEX(Assumptions!$C$6:$C$10,MATCH(E14,Assumptions!$B$6:$B$10,0))-2*INDEX(Assumptions!$C$15:$C$19,MATCH($A14,Assumptions!$B$15:$B$19,0))-$B14)*Assumptions!$C$24:$C$34)/SUM(Assumptions!$C$24:$C$34)</f>
        <v>0.722222222222222</v>
      </c>
      <c r="G14" s="16" t="n">
        <v>3</v>
      </c>
      <c r="H14" s="17" t="n">
        <f aca="false">SUMPRODUCT((Assumptions!$B$24:$B$34&gt;=INDEX(Assumptions!$C$6:$C$10,MATCH(G14,Assumptions!$B$6:$B$10,0))-2*INDEX(Assumptions!$C$15:$C$19,MATCH($A14,Assumptions!$B$15:$B$19,0))-$B14)*Assumptions!$C$24:$C$34)/SUM(Assumptions!$C$24:$C$34)</f>
        <v>0.166666666666667</v>
      </c>
      <c r="I14" s="16" t="n">
        <v>4</v>
      </c>
      <c r="J14" s="17" t="n">
        <f aca="false">SUMPRODUCT((Assumptions!$B$24:$B$34&gt;=INDEX(Assumptions!$C$6:$C$10,MATCH(I14,Assumptions!$B$6:$B$10,0))-2*INDEX(Assumptions!$C$15:$C$19,MATCH($A14,Assumptions!$B$15:$B$19,0))-$B14)*Assumptions!$C$24:$C$34)/SUM(Assumptions!$C$24:$C$34)</f>
        <v>0</v>
      </c>
      <c r="K14" s="16" t="n">
        <v>5</v>
      </c>
      <c r="L14" s="17" t="n">
        <f aca="false">SUMPRODUCT((Assumptions!$B$24:$B$34&gt;=INDEX(Assumptions!$C$6:$C$10,MATCH(K14,Assumptions!$B$6:$B$10,0))-2*INDEX(Assumptions!$C$15:$C$19,MATCH($A14,Assumptions!$B$15:$B$19,0))-$B14)*Assumptions!$C$24:$C$34)/SUM(Assumptions!$C$24:$C$34)</f>
        <v>0</v>
      </c>
    </row>
    <row r="15" customFormat="false" ht="15" hidden="false" customHeight="false" outlineLevel="0" collapsed="false">
      <c r="A15" s="16" t="n">
        <v>2</v>
      </c>
      <c r="B15" s="16" t="n">
        <v>5</v>
      </c>
      <c r="C15" s="16" t="n">
        <v>1</v>
      </c>
      <c r="D15" s="17" t="n">
        <f aca="false">SUMPRODUCT((Assumptions!$B$24:$B$34&gt;=INDEX(Assumptions!$C$6:$C$10,MATCH(C15,Assumptions!$B$6:$B$10,0))-2*INDEX(Assumptions!$C$15:$C$19,MATCH($A15,Assumptions!$B$15:$B$19,0))-$B15)*Assumptions!$C$24:$C$34)/SUM(Assumptions!$C$24:$C$34)</f>
        <v>1</v>
      </c>
      <c r="E15" s="16" t="n">
        <v>2</v>
      </c>
      <c r="F15" s="17" t="n">
        <f aca="false">SUMPRODUCT((Assumptions!$B$24:$B$34&gt;=INDEX(Assumptions!$C$6:$C$10,MATCH(E15,Assumptions!$B$6:$B$10,0))-2*INDEX(Assumptions!$C$15:$C$19,MATCH($A15,Assumptions!$B$15:$B$19,0))-$B15)*Assumptions!$C$24:$C$34)/SUM(Assumptions!$C$24:$C$34)</f>
        <v>0.833333333333333</v>
      </c>
      <c r="G15" s="16" t="n">
        <v>3</v>
      </c>
      <c r="H15" s="17" t="n">
        <f aca="false">SUMPRODUCT((Assumptions!$B$24:$B$34&gt;=INDEX(Assumptions!$C$6:$C$10,MATCH(G15,Assumptions!$B$6:$B$10,0))-2*INDEX(Assumptions!$C$15:$C$19,MATCH($A15,Assumptions!$B$15:$B$19,0))-$B15)*Assumptions!$C$24:$C$34)/SUM(Assumptions!$C$24:$C$34)</f>
        <v>0.277777777777778</v>
      </c>
      <c r="I15" s="16" t="n">
        <v>4</v>
      </c>
      <c r="J15" s="17" t="n">
        <f aca="false">SUMPRODUCT((Assumptions!$B$24:$B$34&gt;=INDEX(Assumptions!$C$6:$C$10,MATCH(I15,Assumptions!$B$6:$B$10,0))-2*INDEX(Assumptions!$C$15:$C$19,MATCH($A15,Assumptions!$B$15:$B$19,0))-$B15)*Assumptions!$C$24:$C$34)/SUM(Assumptions!$C$24:$C$34)</f>
        <v>0</v>
      </c>
      <c r="K15" s="16" t="n">
        <v>5</v>
      </c>
      <c r="L15" s="17" t="n">
        <f aca="false">SUMPRODUCT((Assumptions!$B$24:$B$34&gt;=INDEX(Assumptions!$C$6:$C$10,MATCH(K15,Assumptions!$B$6:$B$10,0))-2*INDEX(Assumptions!$C$15:$C$19,MATCH($A15,Assumptions!$B$15:$B$19,0))-$B15)*Assumptions!$C$24:$C$34)/SUM(Assumptions!$C$24:$C$34)</f>
        <v>0</v>
      </c>
    </row>
    <row r="16" customFormat="false" ht="15" hidden="false" customHeight="false" outlineLevel="0" collapsed="false">
      <c r="A16" s="14" t="n">
        <v>3</v>
      </c>
      <c r="B16" s="14" t="n">
        <v>0</v>
      </c>
      <c r="C16" s="14" t="n">
        <v>1</v>
      </c>
      <c r="D16" s="15" t="n">
        <f aca="false">SUMPRODUCT((Assumptions!$B$24:$B$34&gt;=INDEX(Assumptions!$C$6:$C$10,MATCH(C16,Assumptions!$B$6:$B$10,0))-2*INDEX(Assumptions!$C$15:$C$19,MATCH($A16,Assumptions!$B$15:$B$19,0))-$B16)*Assumptions!$C$24:$C$34)/SUM(Assumptions!$C$24:$C$34)</f>
        <v>0.916666666666667</v>
      </c>
      <c r="E16" s="14" t="n">
        <v>2</v>
      </c>
      <c r="F16" s="15" t="n">
        <f aca="false">SUMPRODUCT((Assumptions!$B$24:$B$34&gt;=INDEX(Assumptions!$C$6:$C$10,MATCH(E16,Assumptions!$B$6:$B$10,0))-2*INDEX(Assumptions!$C$15:$C$19,MATCH($A16,Assumptions!$B$15:$B$19,0))-$B16)*Assumptions!$C$24:$C$34)/SUM(Assumptions!$C$24:$C$34)</f>
        <v>0.416666666666667</v>
      </c>
      <c r="G16" s="14" t="n">
        <v>3</v>
      </c>
      <c r="H16" s="15" t="n">
        <f aca="false">SUMPRODUCT((Assumptions!$B$24:$B$34&gt;=INDEX(Assumptions!$C$6:$C$10,MATCH(G16,Assumptions!$B$6:$B$10,0))-2*INDEX(Assumptions!$C$15:$C$19,MATCH($A16,Assumptions!$B$15:$B$19,0))-$B16)*Assumptions!$C$24:$C$34)/SUM(Assumptions!$C$24:$C$34)</f>
        <v>0.0277777777777778</v>
      </c>
      <c r="I16" s="14" t="n">
        <v>4</v>
      </c>
      <c r="J16" s="15" t="n">
        <f aca="false">SUMPRODUCT((Assumptions!$B$24:$B$34&gt;=INDEX(Assumptions!$C$6:$C$10,MATCH(I16,Assumptions!$B$6:$B$10,0))-2*INDEX(Assumptions!$C$15:$C$19,MATCH($A16,Assumptions!$B$15:$B$19,0))-$B16)*Assumptions!$C$24:$C$34)/SUM(Assumptions!$C$24:$C$34)</f>
        <v>0</v>
      </c>
      <c r="K16" s="14" t="n">
        <v>5</v>
      </c>
      <c r="L16" s="15" t="n">
        <f aca="false">SUMPRODUCT((Assumptions!$B$24:$B$34&gt;=INDEX(Assumptions!$C$6:$C$10,MATCH(K16,Assumptions!$B$6:$B$10,0))-2*INDEX(Assumptions!$C$15:$C$19,MATCH($A16,Assumptions!$B$15:$B$19,0))-$B16)*Assumptions!$C$24:$C$34)/SUM(Assumptions!$C$24:$C$34)</f>
        <v>0</v>
      </c>
    </row>
    <row r="17" customFormat="false" ht="15" hidden="false" customHeight="false" outlineLevel="0" collapsed="false">
      <c r="A17" s="14" t="n">
        <v>3</v>
      </c>
      <c r="B17" s="14" t="n">
        <v>1</v>
      </c>
      <c r="C17" s="14" t="n">
        <v>1</v>
      </c>
      <c r="D17" s="15" t="n">
        <f aca="false">SUMPRODUCT((Assumptions!$B$24:$B$34&gt;=INDEX(Assumptions!$C$6:$C$10,MATCH(C17,Assumptions!$B$6:$B$10,0))-2*INDEX(Assumptions!$C$15:$C$19,MATCH($A17,Assumptions!$B$15:$B$19,0))-$B17)*Assumptions!$C$24:$C$34)/SUM(Assumptions!$C$24:$C$34)</f>
        <v>0.972222222222222</v>
      </c>
      <c r="E17" s="14" t="n">
        <v>2</v>
      </c>
      <c r="F17" s="15" t="n">
        <f aca="false">SUMPRODUCT((Assumptions!$B$24:$B$34&gt;=INDEX(Assumptions!$C$6:$C$10,MATCH(E17,Assumptions!$B$6:$B$10,0))-2*INDEX(Assumptions!$C$15:$C$19,MATCH($A17,Assumptions!$B$15:$B$19,0))-$B17)*Assumptions!$C$24:$C$34)/SUM(Assumptions!$C$24:$C$34)</f>
        <v>0.583333333333333</v>
      </c>
      <c r="G17" s="14" t="n">
        <v>3</v>
      </c>
      <c r="H17" s="15" t="n">
        <f aca="false">SUMPRODUCT((Assumptions!$B$24:$B$34&gt;=INDEX(Assumptions!$C$6:$C$10,MATCH(G17,Assumptions!$B$6:$B$10,0))-2*INDEX(Assumptions!$C$15:$C$19,MATCH($A17,Assumptions!$B$15:$B$19,0))-$B17)*Assumptions!$C$24:$C$34)/SUM(Assumptions!$C$24:$C$34)</f>
        <v>0.0833333333333333</v>
      </c>
      <c r="I17" s="14" t="n">
        <v>4</v>
      </c>
      <c r="J17" s="15" t="n">
        <f aca="false">SUMPRODUCT((Assumptions!$B$24:$B$34&gt;=INDEX(Assumptions!$C$6:$C$10,MATCH(I17,Assumptions!$B$6:$B$10,0))-2*INDEX(Assumptions!$C$15:$C$19,MATCH($A17,Assumptions!$B$15:$B$19,0))-$B17)*Assumptions!$C$24:$C$34)/SUM(Assumptions!$C$24:$C$34)</f>
        <v>0</v>
      </c>
      <c r="K17" s="14" t="n">
        <v>5</v>
      </c>
      <c r="L17" s="15" t="n">
        <f aca="false">SUMPRODUCT((Assumptions!$B$24:$B$34&gt;=INDEX(Assumptions!$C$6:$C$10,MATCH(K17,Assumptions!$B$6:$B$10,0))-2*INDEX(Assumptions!$C$15:$C$19,MATCH($A17,Assumptions!$B$15:$B$19,0))-$B17)*Assumptions!$C$24:$C$34)/SUM(Assumptions!$C$24:$C$34)</f>
        <v>0</v>
      </c>
    </row>
    <row r="18" customFormat="false" ht="15" hidden="false" customHeight="false" outlineLevel="0" collapsed="false">
      <c r="A18" s="14" t="n">
        <v>3</v>
      </c>
      <c r="B18" s="14" t="n">
        <v>2</v>
      </c>
      <c r="C18" s="14" t="n">
        <v>1</v>
      </c>
      <c r="D18" s="15" t="n">
        <f aca="false">SUMPRODUCT((Assumptions!$B$24:$B$34&gt;=INDEX(Assumptions!$C$6:$C$10,MATCH(C18,Assumptions!$B$6:$B$10,0))-2*INDEX(Assumptions!$C$15:$C$19,MATCH($A18,Assumptions!$B$15:$B$19,0))-$B18)*Assumptions!$C$24:$C$34)/SUM(Assumptions!$C$24:$C$34)</f>
        <v>1</v>
      </c>
      <c r="E18" s="14" t="n">
        <v>2</v>
      </c>
      <c r="F18" s="15" t="n">
        <f aca="false">SUMPRODUCT((Assumptions!$B$24:$B$34&gt;=INDEX(Assumptions!$C$6:$C$10,MATCH(E18,Assumptions!$B$6:$B$10,0))-2*INDEX(Assumptions!$C$15:$C$19,MATCH($A18,Assumptions!$B$15:$B$19,0))-$B18)*Assumptions!$C$24:$C$34)/SUM(Assumptions!$C$24:$C$34)</f>
        <v>0.722222222222222</v>
      </c>
      <c r="G18" s="14" t="n">
        <v>3</v>
      </c>
      <c r="H18" s="15" t="n">
        <f aca="false">SUMPRODUCT((Assumptions!$B$24:$B$34&gt;=INDEX(Assumptions!$C$6:$C$10,MATCH(G18,Assumptions!$B$6:$B$10,0))-2*INDEX(Assumptions!$C$15:$C$19,MATCH($A18,Assumptions!$B$15:$B$19,0))-$B18)*Assumptions!$C$24:$C$34)/SUM(Assumptions!$C$24:$C$34)</f>
        <v>0.166666666666667</v>
      </c>
      <c r="I18" s="14" t="n">
        <v>4</v>
      </c>
      <c r="J18" s="15" t="n">
        <f aca="false">SUMPRODUCT((Assumptions!$B$24:$B$34&gt;=INDEX(Assumptions!$C$6:$C$10,MATCH(I18,Assumptions!$B$6:$B$10,0))-2*INDEX(Assumptions!$C$15:$C$19,MATCH($A18,Assumptions!$B$15:$B$19,0))-$B18)*Assumptions!$C$24:$C$34)/SUM(Assumptions!$C$24:$C$34)</f>
        <v>0</v>
      </c>
      <c r="K18" s="14" t="n">
        <v>5</v>
      </c>
      <c r="L18" s="15" t="n">
        <f aca="false">SUMPRODUCT((Assumptions!$B$24:$B$34&gt;=INDEX(Assumptions!$C$6:$C$10,MATCH(K18,Assumptions!$B$6:$B$10,0))-2*INDEX(Assumptions!$C$15:$C$19,MATCH($A18,Assumptions!$B$15:$B$19,0))-$B18)*Assumptions!$C$24:$C$34)/SUM(Assumptions!$C$24:$C$34)</f>
        <v>0</v>
      </c>
    </row>
    <row r="19" customFormat="false" ht="15" hidden="false" customHeight="false" outlineLevel="0" collapsed="false">
      <c r="A19" s="14" t="n">
        <v>3</v>
      </c>
      <c r="B19" s="14" t="n">
        <v>3</v>
      </c>
      <c r="C19" s="14" t="n">
        <v>1</v>
      </c>
      <c r="D19" s="15" t="n">
        <f aca="false">SUMPRODUCT((Assumptions!$B$24:$B$34&gt;=INDEX(Assumptions!$C$6:$C$10,MATCH(C19,Assumptions!$B$6:$B$10,0))-2*INDEX(Assumptions!$C$15:$C$19,MATCH($A19,Assumptions!$B$15:$B$19,0))-$B19)*Assumptions!$C$24:$C$34)/SUM(Assumptions!$C$24:$C$34)</f>
        <v>1</v>
      </c>
      <c r="E19" s="14" t="n">
        <v>2</v>
      </c>
      <c r="F19" s="15" t="n">
        <f aca="false">SUMPRODUCT((Assumptions!$B$24:$B$34&gt;=INDEX(Assumptions!$C$6:$C$10,MATCH(E19,Assumptions!$B$6:$B$10,0))-2*INDEX(Assumptions!$C$15:$C$19,MATCH($A19,Assumptions!$B$15:$B$19,0))-$B19)*Assumptions!$C$24:$C$34)/SUM(Assumptions!$C$24:$C$34)</f>
        <v>0.833333333333333</v>
      </c>
      <c r="G19" s="14" t="n">
        <v>3</v>
      </c>
      <c r="H19" s="15" t="n">
        <f aca="false">SUMPRODUCT((Assumptions!$B$24:$B$34&gt;=INDEX(Assumptions!$C$6:$C$10,MATCH(G19,Assumptions!$B$6:$B$10,0))-2*INDEX(Assumptions!$C$15:$C$19,MATCH($A19,Assumptions!$B$15:$B$19,0))-$B19)*Assumptions!$C$24:$C$34)/SUM(Assumptions!$C$24:$C$34)</f>
        <v>0.277777777777778</v>
      </c>
      <c r="I19" s="14" t="n">
        <v>4</v>
      </c>
      <c r="J19" s="15" t="n">
        <f aca="false">SUMPRODUCT((Assumptions!$B$24:$B$34&gt;=INDEX(Assumptions!$C$6:$C$10,MATCH(I19,Assumptions!$B$6:$B$10,0))-2*INDEX(Assumptions!$C$15:$C$19,MATCH($A19,Assumptions!$B$15:$B$19,0))-$B19)*Assumptions!$C$24:$C$34)/SUM(Assumptions!$C$24:$C$34)</f>
        <v>0</v>
      </c>
      <c r="K19" s="14" t="n">
        <v>5</v>
      </c>
      <c r="L19" s="15" t="n">
        <f aca="false">SUMPRODUCT((Assumptions!$B$24:$B$34&gt;=INDEX(Assumptions!$C$6:$C$10,MATCH(K19,Assumptions!$B$6:$B$10,0))-2*INDEX(Assumptions!$C$15:$C$19,MATCH($A19,Assumptions!$B$15:$B$19,0))-$B19)*Assumptions!$C$24:$C$34)/SUM(Assumptions!$C$24:$C$34)</f>
        <v>0</v>
      </c>
    </row>
    <row r="20" customFormat="false" ht="15" hidden="false" customHeight="false" outlineLevel="0" collapsed="false">
      <c r="A20" s="14" t="n">
        <v>3</v>
      </c>
      <c r="B20" s="14" t="n">
        <v>4</v>
      </c>
      <c r="C20" s="14" t="n">
        <v>1</v>
      </c>
      <c r="D20" s="15" t="n">
        <f aca="false">SUMPRODUCT((Assumptions!$B$24:$B$34&gt;=INDEX(Assumptions!$C$6:$C$10,MATCH(C20,Assumptions!$B$6:$B$10,0))-2*INDEX(Assumptions!$C$15:$C$19,MATCH($A20,Assumptions!$B$15:$B$19,0))-$B20)*Assumptions!$C$24:$C$34)/SUM(Assumptions!$C$24:$C$34)</f>
        <v>1</v>
      </c>
      <c r="E20" s="14" t="n">
        <v>2</v>
      </c>
      <c r="F20" s="15" t="n">
        <f aca="false">SUMPRODUCT((Assumptions!$B$24:$B$34&gt;=INDEX(Assumptions!$C$6:$C$10,MATCH(E20,Assumptions!$B$6:$B$10,0))-2*INDEX(Assumptions!$C$15:$C$19,MATCH($A20,Assumptions!$B$15:$B$19,0))-$B20)*Assumptions!$C$24:$C$34)/SUM(Assumptions!$C$24:$C$34)</f>
        <v>0.916666666666667</v>
      </c>
      <c r="G20" s="14" t="n">
        <v>3</v>
      </c>
      <c r="H20" s="15" t="n">
        <f aca="false">SUMPRODUCT((Assumptions!$B$24:$B$34&gt;=INDEX(Assumptions!$C$6:$C$10,MATCH(G20,Assumptions!$B$6:$B$10,0))-2*INDEX(Assumptions!$C$15:$C$19,MATCH($A20,Assumptions!$B$15:$B$19,0))-$B20)*Assumptions!$C$24:$C$34)/SUM(Assumptions!$C$24:$C$34)</f>
        <v>0.416666666666667</v>
      </c>
      <c r="I20" s="14" t="n">
        <v>4</v>
      </c>
      <c r="J20" s="15" t="n">
        <f aca="false">SUMPRODUCT((Assumptions!$B$24:$B$34&gt;=INDEX(Assumptions!$C$6:$C$10,MATCH(I20,Assumptions!$B$6:$B$10,0))-2*INDEX(Assumptions!$C$15:$C$19,MATCH($A20,Assumptions!$B$15:$B$19,0))-$B20)*Assumptions!$C$24:$C$34)/SUM(Assumptions!$C$24:$C$34)</f>
        <v>0.0277777777777778</v>
      </c>
      <c r="K20" s="14" t="n">
        <v>5</v>
      </c>
      <c r="L20" s="15" t="n">
        <f aca="false">SUMPRODUCT((Assumptions!$B$24:$B$34&gt;=INDEX(Assumptions!$C$6:$C$10,MATCH(K20,Assumptions!$B$6:$B$10,0))-2*INDEX(Assumptions!$C$15:$C$19,MATCH($A20,Assumptions!$B$15:$B$19,0))-$B20)*Assumptions!$C$24:$C$34)/SUM(Assumptions!$C$24:$C$34)</f>
        <v>0</v>
      </c>
    </row>
    <row r="21" customFormat="false" ht="15" hidden="false" customHeight="false" outlineLevel="0" collapsed="false">
      <c r="A21" s="14" t="n">
        <v>3</v>
      </c>
      <c r="B21" s="14" t="n">
        <v>5</v>
      </c>
      <c r="C21" s="14" t="n">
        <v>1</v>
      </c>
      <c r="D21" s="15" t="n">
        <f aca="false">SUMPRODUCT((Assumptions!$B$24:$B$34&gt;=INDEX(Assumptions!$C$6:$C$10,MATCH(C21,Assumptions!$B$6:$B$10,0))-2*INDEX(Assumptions!$C$15:$C$19,MATCH($A21,Assumptions!$B$15:$B$19,0))-$B21)*Assumptions!$C$24:$C$34)/SUM(Assumptions!$C$24:$C$34)</f>
        <v>1</v>
      </c>
      <c r="E21" s="14" t="n">
        <v>2</v>
      </c>
      <c r="F21" s="15" t="n">
        <f aca="false">SUMPRODUCT((Assumptions!$B$24:$B$34&gt;=INDEX(Assumptions!$C$6:$C$10,MATCH(E21,Assumptions!$B$6:$B$10,0))-2*INDEX(Assumptions!$C$15:$C$19,MATCH($A21,Assumptions!$B$15:$B$19,0))-$B21)*Assumptions!$C$24:$C$34)/SUM(Assumptions!$C$24:$C$34)</f>
        <v>0.972222222222222</v>
      </c>
      <c r="G21" s="14" t="n">
        <v>3</v>
      </c>
      <c r="H21" s="15" t="n">
        <f aca="false">SUMPRODUCT((Assumptions!$B$24:$B$34&gt;=INDEX(Assumptions!$C$6:$C$10,MATCH(G21,Assumptions!$B$6:$B$10,0))-2*INDEX(Assumptions!$C$15:$C$19,MATCH($A21,Assumptions!$B$15:$B$19,0))-$B21)*Assumptions!$C$24:$C$34)/SUM(Assumptions!$C$24:$C$34)</f>
        <v>0.583333333333333</v>
      </c>
      <c r="I21" s="14" t="n">
        <v>4</v>
      </c>
      <c r="J21" s="15" t="n">
        <f aca="false">SUMPRODUCT((Assumptions!$B$24:$B$34&gt;=INDEX(Assumptions!$C$6:$C$10,MATCH(I21,Assumptions!$B$6:$B$10,0))-2*INDEX(Assumptions!$C$15:$C$19,MATCH($A21,Assumptions!$B$15:$B$19,0))-$B21)*Assumptions!$C$24:$C$34)/SUM(Assumptions!$C$24:$C$34)</f>
        <v>0.0833333333333333</v>
      </c>
      <c r="K21" s="14" t="n">
        <v>5</v>
      </c>
      <c r="L21" s="15" t="n">
        <f aca="false">SUMPRODUCT((Assumptions!$B$24:$B$34&gt;=INDEX(Assumptions!$C$6:$C$10,MATCH(K21,Assumptions!$B$6:$B$10,0))-2*INDEX(Assumptions!$C$15:$C$19,MATCH($A21,Assumptions!$B$15:$B$19,0))-$B21)*Assumptions!$C$24:$C$34)/SUM(Assumptions!$C$24:$C$34)</f>
        <v>0</v>
      </c>
    </row>
    <row r="22" customFormat="false" ht="15" hidden="false" customHeight="false" outlineLevel="0" collapsed="false">
      <c r="A22" s="16" t="n">
        <v>4</v>
      </c>
      <c r="B22" s="16" t="n">
        <v>0</v>
      </c>
      <c r="C22" s="16" t="n">
        <v>1</v>
      </c>
      <c r="D22" s="17" t="n">
        <f aca="false">SUMPRODUCT((Assumptions!$B$24:$B$34&gt;=INDEX(Assumptions!$C$6:$C$10,MATCH(C22,Assumptions!$B$6:$B$10,0))-2*INDEX(Assumptions!$C$15:$C$19,MATCH($A22,Assumptions!$B$15:$B$19,0))-$B22)*Assumptions!$C$24:$C$34)/SUM(Assumptions!$C$24:$C$34)</f>
        <v>1</v>
      </c>
      <c r="E22" s="16" t="n">
        <v>2</v>
      </c>
      <c r="F22" s="17" t="n">
        <f aca="false">SUMPRODUCT((Assumptions!$B$24:$B$34&gt;=INDEX(Assumptions!$C$6:$C$10,MATCH(E22,Assumptions!$B$6:$B$10,0))-2*INDEX(Assumptions!$C$15:$C$19,MATCH($A22,Assumptions!$B$15:$B$19,0))-$B22)*Assumptions!$C$24:$C$34)/SUM(Assumptions!$C$24:$C$34)</f>
        <v>0.722222222222222</v>
      </c>
      <c r="G22" s="16" t="n">
        <v>3</v>
      </c>
      <c r="H22" s="17" t="n">
        <f aca="false">SUMPRODUCT((Assumptions!$B$24:$B$34&gt;=INDEX(Assumptions!$C$6:$C$10,MATCH(G22,Assumptions!$B$6:$B$10,0))-2*INDEX(Assumptions!$C$15:$C$19,MATCH($A22,Assumptions!$B$15:$B$19,0))-$B22)*Assumptions!$C$24:$C$34)/SUM(Assumptions!$C$24:$C$34)</f>
        <v>0.166666666666667</v>
      </c>
      <c r="I22" s="16" t="n">
        <v>4</v>
      </c>
      <c r="J22" s="17" t="n">
        <f aca="false">SUMPRODUCT((Assumptions!$B$24:$B$34&gt;=INDEX(Assumptions!$C$6:$C$10,MATCH(I22,Assumptions!$B$6:$B$10,0))-2*INDEX(Assumptions!$C$15:$C$19,MATCH($A22,Assumptions!$B$15:$B$19,0))-$B22)*Assumptions!$C$24:$C$34)/SUM(Assumptions!$C$24:$C$34)</f>
        <v>0</v>
      </c>
      <c r="K22" s="16" t="n">
        <v>5</v>
      </c>
      <c r="L22" s="17" t="n">
        <f aca="false">SUMPRODUCT((Assumptions!$B$24:$B$34&gt;=INDEX(Assumptions!$C$6:$C$10,MATCH(K22,Assumptions!$B$6:$B$10,0))-2*INDEX(Assumptions!$C$15:$C$19,MATCH($A22,Assumptions!$B$15:$B$19,0))-$B22)*Assumptions!$C$24:$C$34)/SUM(Assumptions!$C$24:$C$34)</f>
        <v>0</v>
      </c>
    </row>
    <row r="23" customFormat="false" ht="15" hidden="false" customHeight="false" outlineLevel="0" collapsed="false">
      <c r="A23" s="16" t="n">
        <v>4</v>
      </c>
      <c r="B23" s="16" t="n">
        <v>1</v>
      </c>
      <c r="C23" s="16" t="n">
        <v>1</v>
      </c>
      <c r="D23" s="17" t="n">
        <f aca="false">SUMPRODUCT((Assumptions!$B$24:$B$34&gt;=INDEX(Assumptions!$C$6:$C$10,MATCH(C23,Assumptions!$B$6:$B$10,0))-2*INDEX(Assumptions!$C$15:$C$19,MATCH($A23,Assumptions!$B$15:$B$19,0))-$B23)*Assumptions!$C$24:$C$34)/SUM(Assumptions!$C$24:$C$34)</f>
        <v>1</v>
      </c>
      <c r="E23" s="16" t="n">
        <v>2</v>
      </c>
      <c r="F23" s="17" t="n">
        <f aca="false">SUMPRODUCT((Assumptions!$B$24:$B$34&gt;=INDEX(Assumptions!$C$6:$C$10,MATCH(E23,Assumptions!$B$6:$B$10,0))-2*INDEX(Assumptions!$C$15:$C$19,MATCH($A23,Assumptions!$B$15:$B$19,0))-$B23)*Assumptions!$C$24:$C$34)/SUM(Assumptions!$C$24:$C$34)</f>
        <v>0.833333333333333</v>
      </c>
      <c r="G23" s="16" t="n">
        <v>3</v>
      </c>
      <c r="H23" s="17" t="n">
        <f aca="false">SUMPRODUCT((Assumptions!$B$24:$B$34&gt;=INDEX(Assumptions!$C$6:$C$10,MATCH(G23,Assumptions!$B$6:$B$10,0))-2*INDEX(Assumptions!$C$15:$C$19,MATCH($A23,Assumptions!$B$15:$B$19,0))-$B23)*Assumptions!$C$24:$C$34)/SUM(Assumptions!$C$24:$C$34)</f>
        <v>0.277777777777778</v>
      </c>
      <c r="I23" s="16" t="n">
        <v>4</v>
      </c>
      <c r="J23" s="17" t="n">
        <f aca="false">SUMPRODUCT((Assumptions!$B$24:$B$34&gt;=INDEX(Assumptions!$C$6:$C$10,MATCH(I23,Assumptions!$B$6:$B$10,0))-2*INDEX(Assumptions!$C$15:$C$19,MATCH($A23,Assumptions!$B$15:$B$19,0))-$B23)*Assumptions!$C$24:$C$34)/SUM(Assumptions!$C$24:$C$34)</f>
        <v>0</v>
      </c>
      <c r="K23" s="16" t="n">
        <v>5</v>
      </c>
      <c r="L23" s="17" t="n">
        <f aca="false">SUMPRODUCT((Assumptions!$B$24:$B$34&gt;=INDEX(Assumptions!$C$6:$C$10,MATCH(K23,Assumptions!$B$6:$B$10,0))-2*INDEX(Assumptions!$C$15:$C$19,MATCH($A23,Assumptions!$B$15:$B$19,0))-$B23)*Assumptions!$C$24:$C$34)/SUM(Assumptions!$C$24:$C$34)</f>
        <v>0</v>
      </c>
    </row>
    <row r="24" customFormat="false" ht="15" hidden="false" customHeight="false" outlineLevel="0" collapsed="false">
      <c r="A24" s="16" t="n">
        <v>4</v>
      </c>
      <c r="B24" s="16" t="n">
        <v>2</v>
      </c>
      <c r="C24" s="16" t="n">
        <v>1</v>
      </c>
      <c r="D24" s="17" t="n">
        <f aca="false">SUMPRODUCT((Assumptions!$B$24:$B$34&gt;=INDEX(Assumptions!$C$6:$C$10,MATCH(C24,Assumptions!$B$6:$B$10,0))-2*INDEX(Assumptions!$C$15:$C$19,MATCH($A24,Assumptions!$B$15:$B$19,0))-$B24)*Assumptions!$C$24:$C$34)/SUM(Assumptions!$C$24:$C$34)</f>
        <v>1</v>
      </c>
      <c r="E24" s="16" t="n">
        <v>2</v>
      </c>
      <c r="F24" s="17" t="n">
        <f aca="false">SUMPRODUCT((Assumptions!$B$24:$B$34&gt;=INDEX(Assumptions!$C$6:$C$10,MATCH(E24,Assumptions!$B$6:$B$10,0))-2*INDEX(Assumptions!$C$15:$C$19,MATCH($A24,Assumptions!$B$15:$B$19,0))-$B24)*Assumptions!$C$24:$C$34)/SUM(Assumptions!$C$24:$C$34)</f>
        <v>0.916666666666667</v>
      </c>
      <c r="G24" s="16" t="n">
        <v>3</v>
      </c>
      <c r="H24" s="17" t="n">
        <f aca="false">SUMPRODUCT((Assumptions!$B$24:$B$34&gt;=INDEX(Assumptions!$C$6:$C$10,MATCH(G24,Assumptions!$B$6:$B$10,0))-2*INDEX(Assumptions!$C$15:$C$19,MATCH($A24,Assumptions!$B$15:$B$19,0))-$B24)*Assumptions!$C$24:$C$34)/SUM(Assumptions!$C$24:$C$34)</f>
        <v>0.416666666666667</v>
      </c>
      <c r="I24" s="16" t="n">
        <v>4</v>
      </c>
      <c r="J24" s="17" t="n">
        <f aca="false">SUMPRODUCT((Assumptions!$B$24:$B$34&gt;=INDEX(Assumptions!$C$6:$C$10,MATCH(I24,Assumptions!$B$6:$B$10,0))-2*INDEX(Assumptions!$C$15:$C$19,MATCH($A24,Assumptions!$B$15:$B$19,0))-$B24)*Assumptions!$C$24:$C$34)/SUM(Assumptions!$C$24:$C$34)</f>
        <v>0.0277777777777778</v>
      </c>
      <c r="K24" s="16" t="n">
        <v>5</v>
      </c>
      <c r="L24" s="17" t="n">
        <f aca="false">SUMPRODUCT((Assumptions!$B$24:$B$34&gt;=INDEX(Assumptions!$C$6:$C$10,MATCH(K24,Assumptions!$B$6:$B$10,0))-2*INDEX(Assumptions!$C$15:$C$19,MATCH($A24,Assumptions!$B$15:$B$19,0))-$B24)*Assumptions!$C$24:$C$34)/SUM(Assumptions!$C$24:$C$34)</f>
        <v>0</v>
      </c>
    </row>
    <row r="25" customFormat="false" ht="15" hidden="false" customHeight="false" outlineLevel="0" collapsed="false">
      <c r="A25" s="16" t="n">
        <v>4</v>
      </c>
      <c r="B25" s="16" t="n">
        <v>3</v>
      </c>
      <c r="C25" s="16" t="n">
        <v>1</v>
      </c>
      <c r="D25" s="17" t="n">
        <f aca="false">SUMPRODUCT((Assumptions!$B$24:$B$34&gt;=INDEX(Assumptions!$C$6:$C$10,MATCH(C25,Assumptions!$B$6:$B$10,0))-2*INDEX(Assumptions!$C$15:$C$19,MATCH($A25,Assumptions!$B$15:$B$19,0))-$B25)*Assumptions!$C$24:$C$34)/SUM(Assumptions!$C$24:$C$34)</f>
        <v>1</v>
      </c>
      <c r="E25" s="16" t="n">
        <v>2</v>
      </c>
      <c r="F25" s="17" t="n">
        <f aca="false">SUMPRODUCT((Assumptions!$B$24:$B$34&gt;=INDEX(Assumptions!$C$6:$C$10,MATCH(E25,Assumptions!$B$6:$B$10,0))-2*INDEX(Assumptions!$C$15:$C$19,MATCH($A25,Assumptions!$B$15:$B$19,0))-$B25)*Assumptions!$C$24:$C$34)/SUM(Assumptions!$C$24:$C$34)</f>
        <v>0.972222222222222</v>
      </c>
      <c r="G25" s="16" t="n">
        <v>3</v>
      </c>
      <c r="H25" s="17" t="n">
        <f aca="false">SUMPRODUCT((Assumptions!$B$24:$B$34&gt;=INDEX(Assumptions!$C$6:$C$10,MATCH(G25,Assumptions!$B$6:$B$10,0))-2*INDEX(Assumptions!$C$15:$C$19,MATCH($A25,Assumptions!$B$15:$B$19,0))-$B25)*Assumptions!$C$24:$C$34)/SUM(Assumptions!$C$24:$C$34)</f>
        <v>0.583333333333333</v>
      </c>
      <c r="I25" s="16" t="n">
        <v>4</v>
      </c>
      <c r="J25" s="17" t="n">
        <f aca="false">SUMPRODUCT((Assumptions!$B$24:$B$34&gt;=INDEX(Assumptions!$C$6:$C$10,MATCH(I25,Assumptions!$B$6:$B$10,0))-2*INDEX(Assumptions!$C$15:$C$19,MATCH($A25,Assumptions!$B$15:$B$19,0))-$B25)*Assumptions!$C$24:$C$34)/SUM(Assumptions!$C$24:$C$34)</f>
        <v>0.0833333333333333</v>
      </c>
      <c r="K25" s="16" t="n">
        <v>5</v>
      </c>
      <c r="L25" s="17" t="n">
        <f aca="false">SUMPRODUCT((Assumptions!$B$24:$B$34&gt;=INDEX(Assumptions!$C$6:$C$10,MATCH(K25,Assumptions!$B$6:$B$10,0))-2*INDEX(Assumptions!$C$15:$C$19,MATCH($A25,Assumptions!$B$15:$B$19,0))-$B25)*Assumptions!$C$24:$C$34)/SUM(Assumptions!$C$24:$C$34)</f>
        <v>0</v>
      </c>
    </row>
    <row r="26" customFormat="false" ht="15" hidden="false" customHeight="false" outlineLevel="0" collapsed="false">
      <c r="A26" s="16" t="n">
        <v>4</v>
      </c>
      <c r="B26" s="16" t="n">
        <v>4</v>
      </c>
      <c r="C26" s="16" t="n">
        <v>1</v>
      </c>
      <c r="D26" s="17" t="n">
        <f aca="false">SUMPRODUCT((Assumptions!$B$24:$B$34&gt;=INDEX(Assumptions!$C$6:$C$10,MATCH(C26,Assumptions!$B$6:$B$10,0))-2*INDEX(Assumptions!$C$15:$C$19,MATCH($A26,Assumptions!$B$15:$B$19,0))-$B26)*Assumptions!$C$24:$C$34)/SUM(Assumptions!$C$24:$C$34)</f>
        <v>1</v>
      </c>
      <c r="E26" s="16" t="n">
        <v>2</v>
      </c>
      <c r="F26" s="17" t="n">
        <f aca="false">SUMPRODUCT((Assumptions!$B$24:$B$34&gt;=INDEX(Assumptions!$C$6:$C$10,MATCH(E26,Assumptions!$B$6:$B$10,0))-2*INDEX(Assumptions!$C$15:$C$19,MATCH($A26,Assumptions!$B$15:$B$19,0))-$B26)*Assumptions!$C$24:$C$34)/SUM(Assumptions!$C$24:$C$34)</f>
        <v>1</v>
      </c>
      <c r="G26" s="16" t="n">
        <v>3</v>
      </c>
      <c r="H26" s="17" t="n">
        <f aca="false">SUMPRODUCT((Assumptions!$B$24:$B$34&gt;=INDEX(Assumptions!$C$6:$C$10,MATCH(G26,Assumptions!$B$6:$B$10,0))-2*INDEX(Assumptions!$C$15:$C$19,MATCH($A26,Assumptions!$B$15:$B$19,0))-$B26)*Assumptions!$C$24:$C$34)/SUM(Assumptions!$C$24:$C$34)</f>
        <v>0.722222222222222</v>
      </c>
      <c r="I26" s="16" t="n">
        <v>4</v>
      </c>
      <c r="J26" s="17" t="n">
        <f aca="false">SUMPRODUCT((Assumptions!$B$24:$B$34&gt;=INDEX(Assumptions!$C$6:$C$10,MATCH(I26,Assumptions!$B$6:$B$10,0))-2*INDEX(Assumptions!$C$15:$C$19,MATCH($A26,Assumptions!$B$15:$B$19,0))-$B26)*Assumptions!$C$24:$C$34)/SUM(Assumptions!$C$24:$C$34)</f>
        <v>0.166666666666667</v>
      </c>
      <c r="K26" s="16" t="n">
        <v>5</v>
      </c>
      <c r="L26" s="17" t="n">
        <f aca="false">SUMPRODUCT((Assumptions!$B$24:$B$34&gt;=INDEX(Assumptions!$C$6:$C$10,MATCH(K26,Assumptions!$B$6:$B$10,0))-2*INDEX(Assumptions!$C$15:$C$19,MATCH($A26,Assumptions!$B$15:$B$19,0))-$B26)*Assumptions!$C$24:$C$34)/SUM(Assumptions!$C$24:$C$34)</f>
        <v>0</v>
      </c>
    </row>
    <row r="27" customFormat="false" ht="15" hidden="false" customHeight="false" outlineLevel="0" collapsed="false">
      <c r="A27" s="16" t="n">
        <v>4</v>
      </c>
      <c r="B27" s="16" t="n">
        <v>5</v>
      </c>
      <c r="C27" s="16" t="n">
        <v>1</v>
      </c>
      <c r="D27" s="17" t="n">
        <f aca="false">SUMPRODUCT((Assumptions!$B$24:$B$34&gt;=INDEX(Assumptions!$C$6:$C$10,MATCH(C27,Assumptions!$B$6:$B$10,0))-2*INDEX(Assumptions!$C$15:$C$19,MATCH($A27,Assumptions!$B$15:$B$19,0))-$B27)*Assumptions!$C$24:$C$34)/SUM(Assumptions!$C$24:$C$34)</f>
        <v>1</v>
      </c>
      <c r="E27" s="16" t="n">
        <v>2</v>
      </c>
      <c r="F27" s="17" t="n">
        <f aca="false">SUMPRODUCT((Assumptions!$B$24:$B$34&gt;=INDEX(Assumptions!$C$6:$C$10,MATCH(E27,Assumptions!$B$6:$B$10,0))-2*INDEX(Assumptions!$C$15:$C$19,MATCH($A27,Assumptions!$B$15:$B$19,0))-$B27)*Assumptions!$C$24:$C$34)/SUM(Assumptions!$C$24:$C$34)</f>
        <v>1</v>
      </c>
      <c r="G27" s="16" t="n">
        <v>3</v>
      </c>
      <c r="H27" s="17" t="n">
        <f aca="false">SUMPRODUCT((Assumptions!$B$24:$B$34&gt;=INDEX(Assumptions!$C$6:$C$10,MATCH(G27,Assumptions!$B$6:$B$10,0))-2*INDEX(Assumptions!$C$15:$C$19,MATCH($A27,Assumptions!$B$15:$B$19,0))-$B27)*Assumptions!$C$24:$C$34)/SUM(Assumptions!$C$24:$C$34)</f>
        <v>0.833333333333333</v>
      </c>
      <c r="I27" s="16" t="n">
        <v>4</v>
      </c>
      <c r="J27" s="17" t="n">
        <f aca="false">SUMPRODUCT((Assumptions!$B$24:$B$34&gt;=INDEX(Assumptions!$C$6:$C$10,MATCH(I27,Assumptions!$B$6:$B$10,0))-2*INDEX(Assumptions!$C$15:$C$19,MATCH($A27,Assumptions!$B$15:$B$19,0))-$B27)*Assumptions!$C$24:$C$34)/SUM(Assumptions!$C$24:$C$34)</f>
        <v>0.277777777777778</v>
      </c>
      <c r="K27" s="16" t="n">
        <v>5</v>
      </c>
      <c r="L27" s="17" t="n">
        <f aca="false">SUMPRODUCT((Assumptions!$B$24:$B$34&gt;=INDEX(Assumptions!$C$6:$C$10,MATCH(K27,Assumptions!$B$6:$B$10,0))-2*INDEX(Assumptions!$C$15:$C$19,MATCH($A27,Assumptions!$B$15:$B$19,0))-$B27)*Assumptions!$C$24:$C$34)/SUM(Assumptions!$C$24:$C$34)</f>
        <v>0</v>
      </c>
    </row>
    <row r="28" customFormat="false" ht="15" hidden="false" customHeight="false" outlineLevel="0" collapsed="false">
      <c r="A28" s="14" t="n">
        <v>5</v>
      </c>
      <c r="B28" s="14" t="n">
        <v>0</v>
      </c>
      <c r="C28" s="14" t="n">
        <v>1</v>
      </c>
      <c r="D28" s="15" t="n">
        <f aca="false">SUMPRODUCT((Assumptions!$B$24:$B$34&gt;=INDEX(Assumptions!$C$6:$C$10,MATCH(C28,Assumptions!$B$6:$B$10,0))-2*INDEX(Assumptions!$C$15:$C$19,MATCH($A28,Assumptions!$B$15:$B$19,0))-$B28)*Assumptions!$C$24:$C$34)/SUM(Assumptions!$C$24:$C$34)</f>
        <v>1</v>
      </c>
      <c r="E28" s="14" t="n">
        <v>2</v>
      </c>
      <c r="F28" s="15" t="n">
        <f aca="false">SUMPRODUCT((Assumptions!$B$24:$B$34&gt;=INDEX(Assumptions!$C$6:$C$10,MATCH(E28,Assumptions!$B$6:$B$10,0))-2*INDEX(Assumptions!$C$15:$C$19,MATCH($A28,Assumptions!$B$15:$B$19,0))-$B28)*Assumptions!$C$24:$C$34)/SUM(Assumptions!$C$24:$C$34)</f>
        <v>0.916666666666667</v>
      </c>
      <c r="G28" s="14" t="n">
        <v>3</v>
      </c>
      <c r="H28" s="15" t="n">
        <f aca="false">SUMPRODUCT((Assumptions!$B$24:$B$34&gt;=INDEX(Assumptions!$C$6:$C$10,MATCH(G28,Assumptions!$B$6:$B$10,0))-2*INDEX(Assumptions!$C$15:$C$19,MATCH($A28,Assumptions!$B$15:$B$19,0))-$B28)*Assumptions!$C$24:$C$34)/SUM(Assumptions!$C$24:$C$34)</f>
        <v>0.416666666666667</v>
      </c>
      <c r="I28" s="14" t="n">
        <v>4</v>
      </c>
      <c r="J28" s="15" t="n">
        <f aca="false">SUMPRODUCT((Assumptions!$B$24:$B$34&gt;=INDEX(Assumptions!$C$6:$C$10,MATCH(I28,Assumptions!$B$6:$B$10,0))-2*INDEX(Assumptions!$C$15:$C$19,MATCH($A28,Assumptions!$B$15:$B$19,0))-$B28)*Assumptions!$C$24:$C$34)/SUM(Assumptions!$C$24:$C$34)</f>
        <v>0.0277777777777778</v>
      </c>
      <c r="K28" s="14" t="n">
        <v>5</v>
      </c>
      <c r="L28" s="15" t="n">
        <f aca="false">SUMPRODUCT((Assumptions!$B$24:$B$34&gt;=INDEX(Assumptions!$C$6:$C$10,MATCH(K28,Assumptions!$B$6:$B$10,0))-2*INDEX(Assumptions!$C$15:$C$19,MATCH($A28,Assumptions!$B$15:$B$19,0))-$B28)*Assumptions!$C$24:$C$34)/SUM(Assumptions!$C$24:$C$34)</f>
        <v>0</v>
      </c>
    </row>
    <row r="29" customFormat="false" ht="15" hidden="false" customHeight="false" outlineLevel="0" collapsed="false">
      <c r="A29" s="14" t="n">
        <v>5</v>
      </c>
      <c r="B29" s="14" t="n">
        <v>1</v>
      </c>
      <c r="C29" s="14" t="n">
        <v>1</v>
      </c>
      <c r="D29" s="15" t="n">
        <f aca="false">SUMPRODUCT((Assumptions!$B$24:$B$34&gt;=INDEX(Assumptions!$C$6:$C$10,MATCH(C29,Assumptions!$B$6:$B$10,0))-2*INDEX(Assumptions!$C$15:$C$19,MATCH($A29,Assumptions!$B$15:$B$19,0))-$B29)*Assumptions!$C$24:$C$34)/SUM(Assumptions!$C$24:$C$34)</f>
        <v>1</v>
      </c>
      <c r="E29" s="14" t="n">
        <v>2</v>
      </c>
      <c r="F29" s="15" t="n">
        <f aca="false">SUMPRODUCT((Assumptions!$B$24:$B$34&gt;=INDEX(Assumptions!$C$6:$C$10,MATCH(E29,Assumptions!$B$6:$B$10,0))-2*INDEX(Assumptions!$C$15:$C$19,MATCH($A29,Assumptions!$B$15:$B$19,0))-$B29)*Assumptions!$C$24:$C$34)/SUM(Assumptions!$C$24:$C$34)</f>
        <v>0.972222222222222</v>
      </c>
      <c r="G29" s="14" t="n">
        <v>3</v>
      </c>
      <c r="H29" s="15" t="n">
        <f aca="false">SUMPRODUCT((Assumptions!$B$24:$B$34&gt;=INDEX(Assumptions!$C$6:$C$10,MATCH(G29,Assumptions!$B$6:$B$10,0))-2*INDEX(Assumptions!$C$15:$C$19,MATCH($A29,Assumptions!$B$15:$B$19,0))-$B29)*Assumptions!$C$24:$C$34)/SUM(Assumptions!$C$24:$C$34)</f>
        <v>0.583333333333333</v>
      </c>
      <c r="I29" s="14" t="n">
        <v>4</v>
      </c>
      <c r="J29" s="15" t="n">
        <f aca="false">SUMPRODUCT((Assumptions!$B$24:$B$34&gt;=INDEX(Assumptions!$C$6:$C$10,MATCH(I29,Assumptions!$B$6:$B$10,0))-2*INDEX(Assumptions!$C$15:$C$19,MATCH($A29,Assumptions!$B$15:$B$19,0))-$B29)*Assumptions!$C$24:$C$34)/SUM(Assumptions!$C$24:$C$34)</f>
        <v>0.0833333333333333</v>
      </c>
      <c r="K29" s="14" t="n">
        <v>5</v>
      </c>
      <c r="L29" s="15" t="n">
        <f aca="false">SUMPRODUCT((Assumptions!$B$24:$B$34&gt;=INDEX(Assumptions!$C$6:$C$10,MATCH(K29,Assumptions!$B$6:$B$10,0))-2*INDEX(Assumptions!$C$15:$C$19,MATCH($A29,Assumptions!$B$15:$B$19,0))-$B29)*Assumptions!$C$24:$C$34)/SUM(Assumptions!$C$24:$C$34)</f>
        <v>0</v>
      </c>
    </row>
    <row r="30" customFormat="false" ht="15" hidden="false" customHeight="false" outlineLevel="0" collapsed="false">
      <c r="A30" s="14" t="n">
        <v>5</v>
      </c>
      <c r="B30" s="14" t="n">
        <v>2</v>
      </c>
      <c r="C30" s="14" t="n">
        <v>1</v>
      </c>
      <c r="D30" s="15" t="n">
        <f aca="false">SUMPRODUCT((Assumptions!$B$24:$B$34&gt;=INDEX(Assumptions!$C$6:$C$10,MATCH(C30,Assumptions!$B$6:$B$10,0))-2*INDEX(Assumptions!$C$15:$C$19,MATCH($A30,Assumptions!$B$15:$B$19,0))-$B30)*Assumptions!$C$24:$C$34)/SUM(Assumptions!$C$24:$C$34)</f>
        <v>1</v>
      </c>
      <c r="E30" s="14" t="n">
        <v>2</v>
      </c>
      <c r="F30" s="15" t="n">
        <f aca="false">SUMPRODUCT((Assumptions!$B$24:$B$34&gt;=INDEX(Assumptions!$C$6:$C$10,MATCH(E30,Assumptions!$B$6:$B$10,0))-2*INDEX(Assumptions!$C$15:$C$19,MATCH($A30,Assumptions!$B$15:$B$19,0))-$B30)*Assumptions!$C$24:$C$34)/SUM(Assumptions!$C$24:$C$34)</f>
        <v>1</v>
      </c>
      <c r="G30" s="14" t="n">
        <v>3</v>
      </c>
      <c r="H30" s="15" t="n">
        <f aca="false">SUMPRODUCT((Assumptions!$B$24:$B$34&gt;=INDEX(Assumptions!$C$6:$C$10,MATCH(G30,Assumptions!$B$6:$B$10,0))-2*INDEX(Assumptions!$C$15:$C$19,MATCH($A30,Assumptions!$B$15:$B$19,0))-$B30)*Assumptions!$C$24:$C$34)/SUM(Assumptions!$C$24:$C$34)</f>
        <v>0.722222222222222</v>
      </c>
      <c r="I30" s="14" t="n">
        <v>4</v>
      </c>
      <c r="J30" s="15" t="n">
        <f aca="false">SUMPRODUCT((Assumptions!$B$24:$B$34&gt;=INDEX(Assumptions!$C$6:$C$10,MATCH(I30,Assumptions!$B$6:$B$10,0))-2*INDEX(Assumptions!$C$15:$C$19,MATCH($A30,Assumptions!$B$15:$B$19,0))-$B30)*Assumptions!$C$24:$C$34)/SUM(Assumptions!$C$24:$C$34)</f>
        <v>0.166666666666667</v>
      </c>
      <c r="K30" s="14" t="n">
        <v>5</v>
      </c>
      <c r="L30" s="15" t="n">
        <f aca="false">SUMPRODUCT((Assumptions!$B$24:$B$34&gt;=INDEX(Assumptions!$C$6:$C$10,MATCH(K30,Assumptions!$B$6:$B$10,0))-2*INDEX(Assumptions!$C$15:$C$19,MATCH($A30,Assumptions!$B$15:$B$19,0))-$B30)*Assumptions!$C$24:$C$34)/SUM(Assumptions!$C$24:$C$34)</f>
        <v>0</v>
      </c>
    </row>
    <row r="31" customFormat="false" ht="15" hidden="false" customHeight="false" outlineLevel="0" collapsed="false">
      <c r="A31" s="14" t="n">
        <v>5</v>
      </c>
      <c r="B31" s="14" t="n">
        <v>3</v>
      </c>
      <c r="C31" s="14" t="n">
        <v>1</v>
      </c>
      <c r="D31" s="15" t="n">
        <f aca="false">SUMPRODUCT((Assumptions!$B$24:$B$34&gt;=INDEX(Assumptions!$C$6:$C$10,MATCH(C31,Assumptions!$B$6:$B$10,0))-2*INDEX(Assumptions!$C$15:$C$19,MATCH($A31,Assumptions!$B$15:$B$19,0))-$B31)*Assumptions!$C$24:$C$34)/SUM(Assumptions!$C$24:$C$34)</f>
        <v>1</v>
      </c>
      <c r="E31" s="14" t="n">
        <v>2</v>
      </c>
      <c r="F31" s="15" t="n">
        <f aca="false">SUMPRODUCT((Assumptions!$B$24:$B$34&gt;=INDEX(Assumptions!$C$6:$C$10,MATCH(E31,Assumptions!$B$6:$B$10,0))-2*INDEX(Assumptions!$C$15:$C$19,MATCH($A31,Assumptions!$B$15:$B$19,0))-$B31)*Assumptions!$C$24:$C$34)/SUM(Assumptions!$C$24:$C$34)</f>
        <v>1</v>
      </c>
      <c r="G31" s="14" t="n">
        <v>3</v>
      </c>
      <c r="H31" s="15" t="n">
        <f aca="false">SUMPRODUCT((Assumptions!$B$24:$B$34&gt;=INDEX(Assumptions!$C$6:$C$10,MATCH(G31,Assumptions!$B$6:$B$10,0))-2*INDEX(Assumptions!$C$15:$C$19,MATCH($A31,Assumptions!$B$15:$B$19,0))-$B31)*Assumptions!$C$24:$C$34)/SUM(Assumptions!$C$24:$C$34)</f>
        <v>0.833333333333333</v>
      </c>
      <c r="I31" s="14" t="n">
        <v>4</v>
      </c>
      <c r="J31" s="15" t="n">
        <f aca="false">SUMPRODUCT((Assumptions!$B$24:$B$34&gt;=INDEX(Assumptions!$C$6:$C$10,MATCH(I31,Assumptions!$B$6:$B$10,0))-2*INDEX(Assumptions!$C$15:$C$19,MATCH($A31,Assumptions!$B$15:$B$19,0))-$B31)*Assumptions!$C$24:$C$34)/SUM(Assumptions!$C$24:$C$34)</f>
        <v>0.277777777777778</v>
      </c>
      <c r="K31" s="14" t="n">
        <v>5</v>
      </c>
      <c r="L31" s="15" t="n">
        <f aca="false">SUMPRODUCT((Assumptions!$B$24:$B$34&gt;=INDEX(Assumptions!$C$6:$C$10,MATCH(K31,Assumptions!$B$6:$B$10,0))-2*INDEX(Assumptions!$C$15:$C$19,MATCH($A31,Assumptions!$B$15:$B$19,0))-$B31)*Assumptions!$C$24:$C$34)/SUM(Assumptions!$C$24:$C$34)</f>
        <v>0</v>
      </c>
    </row>
    <row r="32" customFormat="false" ht="15" hidden="false" customHeight="false" outlineLevel="0" collapsed="false">
      <c r="A32" s="14" t="n">
        <v>5</v>
      </c>
      <c r="B32" s="14" t="n">
        <v>4</v>
      </c>
      <c r="C32" s="14" t="n">
        <v>1</v>
      </c>
      <c r="D32" s="15" t="n">
        <f aca="false">SUMPRODUCT((Assumptions!$B$24:$B$34&gt;=INDEX(Assumptions!$C$6:$C$10,MATCH(C32,Assumptions!$B$6:$B$10,0))-2*INDEX(Assumptions!$C$15:$C$19,MATCH($A32,Assumptions!$B$15:$B$19,0))-$B32)*Assumptions!$C$24:$C$34)/SUM(Assumptions!$C$24:$C$34)</f>
        <v>1</v>
      </c>
      <c r="E32" s="14" t="n">
        <v>2</v>
      </c>
      <c r="F32" s="15" t="n">
        <f aca="false">SUMPRODUCT((Assumptions!$B$24:$B$34&gt;=INDEX(Assumptions!$C$6:$C$10,MATCH(E32,Assumptions!$B$6:$B$10,0))-2*INDEX(Assumptions!$C$15:$C$19,MATCH($A32,Assumptions!$B$15:$B$19,0))-$B32)*Assumptions!$C$24:$C$34)/SUM(Assumptions!$C$24:$C$34)</f>
        <v>1</v>
      </c>
      <c r="G32" s="14" t="n">
        <v>3</v>
      </c>
      <c r="H32" s="15" t="n">
        <f aca="false">SUMPRODUCT((Assumptions!$B$24:$B$34&gt;=INDEX(Assumptions!$C$6:$C$10,MATCH(G32,Assumptions!$B$6:$B$10,0))-2*INDEX(Assumptions!$C$15:$C$19,MATCH($A32,Assumptions!$B$15:$B$19,0))-$B32)*Assumptions!$C$24:$C$34)/SUM(Assumptions!$C$24:$C$34)</f>
        <v>0.916666666666667</v>
      </c>
      <c r="I32" s="14" t="n">
        <v>4</v>
      </c>
      <c r="J32" s="15" t="n">
        <f aca="false">SUMPRODUCT((Assumptions!$B$24:$B$34&gt;=INDEX(Assumptions!$C$6:$C$10,MATCH(I32,Assumptions!$B$6:$B$10,0))-2*INDEX(Assumptions!$C$15:$C$19,MATCH($A32,Assumptions!$B$15:$B$19,0))-$B32)*Assumptions!$C$24:$C$34)/SUM(Assumptions!$C$24:$C$34)</f>
        <v>0.416666666666667</v>
      </c>
      <c r="K32" s="14" t="n">
        <v>5</v>
      </c>
      <c r="L32" s="15" t="n">
        <f aca="false">SUMPRODUCT((Assumptions!$B$24:$B$34&gt;=INDEX(Assumptions!$C$6:$C$10,MATCH(K32,Assumptions!$B$6:$B$10,0))-2*INDEX(Assumptions!$C$15:$C$19,MATCH($A32,Assumptions!$B$15:$B$19,0))-$B32)*Assumptions!$C$24:$C$34)/SUM(Assumptions!$C$24:$C$34)</f>
        <v>0.0277777777777778</v>
      </c>
    </row>
    <row r="33" customFormat="false" ht="15" hidden="false" customHeight="false" outlineLevel="0" collapsed="false">
      <c r="A33" s="14" t="n">
        <v>5</v>
      </c>
      <c r="B33" s="14" t="n">
        <v>5</v>
      </c>
      <c r="C33" s="14" t="n">
        <v>1</v>
      </c>
      <c r="D33" s="15" t="n">
        <f aca="false">SUMPRODUCT((Assumptions!$B$24:$B$34&gt;=INDEX(Assumptions!$C$6:$C$10,MATCH(C33,Assumptions!$B$6:$B$10,0))-2*INDEX(Assumptions!$C$15:$C$19,MATCH($A33,Assumptions!$B$15:$B$19,0))-$B33)*Assumptions!$C$24:$C$34)/SUM(Assumptions!$C$24:$C$34)</f>
        <v>1</v>
      </c>
      <c r="E33" s="14" t="n">
        <v>2</v>
      </c>
      <c r="F33" s="15" t="n">
        <f aca="false">SUMPRODUCT((Assumptions!$B$24:$B$34&gt;=INDEX(Assumptions!$C$6:$C$10,MATCH(E33,Assumptions!$B$6:$B$10,0))-2*INDEX(Assumptions!$C$15:$C$19,MATCH($A33,Assumptions!$B$15:$B$19,0))-$B33)*Assumptions!$C$24:$C$34)/SUM(Assumptions!$C$24:$C$34)</f>
        <v>1</v>
      </c>
      <c r="G33" s="14" t="n">
        <v>3</v>
      </c>
      <c r="H33" s="15" t="n">
        <f aca="false">SUMPRODUCT((Assumptions!$B$24:$B$34&gt;=INDEX(Assumptions!$C$6:$C$10,MATCH(G33,Assumptions!$B$6:$B$10,0))-2*INDEX(Assumptions!$C$15:$C$19,MATCH($A33,Assumptions!$B$15:$B$19,0))-$B33)*Assumptions!$C$24:$C$34)/SUM(Assumptions!$C$24:$C$34)</f>
        <v>0.972222222222222</v>
      </c>
      <c r="I33" s="14" t="n">
        <v>4</v>
      </c>
      <c r="J33" s="15" t="n">
        <f aca="false">SUMPRODUCT((Assumptions!$B$24:$B$34&gt;=INDEX(Assumptions!$C$6:$C$10,MATCH(I33,Assumptions!$B$6:$B$10,0))-2*INDEX(Assumptions!$C$15:$C$19,MATCH($A33,Assumptions!$B$15:$B$19,0))-$B33)*Assumptions!$C$24:$C$34)/SUM(Assumptions!$C$24:$C$34)</f>
        <v>0.583333333333333</v>
      </c>
      <c r="K33" s="14" t="n">
        <v>5</v>
      </c>
      <c r="L33" s="15" t="n">
        <f aca="false">SUMPRODUCT((Assumptions!$B$24:$B$34&gt;=INDEX(Assumptions!$C$6:$C$10,MATCH(K33,Assumptions!$B$6:$B$10,0))-2*INDEX(Assumptions!$C$15:$C$19,MATCH($A33,Assumptions!$B$15:$B$19,0))-$B33)*Assumptions!$C$24:$C$34)/SUM(Assumptions!$C$24:$C$34)</f>
        <v>0.0833333333333333</v>
      </c>
    </row>
    <row r="35" customFormat="false" ht="15" hidden="false" customHeight="false" outlineLevel="0" collapsed="false">
      <c r="A35" s="2" t="s">
        <v>45</v>
      </c>
    </row>
    <row r="36" customFormat="false" ht="15" hidden="false" customHeight="false" outlineLevel="0" collapsed="false">
      <c r="A36" s="2" t="s">
        <v>46</v>
      </c>
    </row>
  </sheetData>
  <conditionalFormatting sqref="D4:D33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4:F33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H4:H33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4:J33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4:L33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2026-09-07T12:52:38Z</dcterms:created>
  <dc:creator>openpyxl</dc:creator>
  <dc:description/>
  <dc:language>lv-LV</dc:language>
  <cp:lastModifiedBy/>
  <dcterms:modified xsi:type="dcterms:W3CDTF">2026-09-07T12:52:38Z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